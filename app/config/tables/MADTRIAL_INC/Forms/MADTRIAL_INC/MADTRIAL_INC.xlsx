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fisker\Documents\tablet\MAD\ver5\MADtrial\app\config\tables\MADTRIAL_INC\Forms\MADTRIAL_INC\"/>
    </mc:Choice>
  </mc:AlternateContent>
  <xr:revisionPtr revIDLastSave="0" documentId="13_ncr:1_{3E26D33E-FB19-4F34-AD84-393AB4A6383B}" xr6:coauthVersionLast="47" xr6:coauthVersionMax="47" xr10:uidLastSave="{00000000-0000-0000-0000-000000000000}"/>
  <bookViews>
    <workbookView xWindow="-80" yWindow="-80" windowWidth="19360" windowHeight="11440" firstSheet="1" activeTab="2" xr2:uid="{00000000-000D-0000-FFFF-FFFF00000000}"/>
  </bookViews>
  <sheets>
    <sheet name="settings" sheetId="1" r:id="rId1"/>
    <sheet name="survey" sheetId="2" r:id="rId2"/>
    <sheet name="inc" sheetId="3" r:id="rId3"/>
    <sheet name="choices" sheetId="4" r:id="rId4"/>
    <sheet name="calculates" sheetId="5" r:id="rId5"/>
    <sheet name="queries" sheetId="6" r:id="rId6"/>
    <sheet name="prompt_types" sheetId="7" r:id="rId7"/>
    <sheet name="model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" i="4" l="1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<sst xmlns="http://schemas.openxmlformats.org/spreadsheetml/2006/main" count="1216" uniqueCount="549">
  <si>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</si>
  <si>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</si>
  <si>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</si>
  <si>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</si>
  <si>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</si>
  <si>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</si>
  <si>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</si>
  <si>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MADTRIAL_INC</t>
  </si>
  <si>
    <t>form_version</t>
  </si>
  <si>
    <t>table_id</t>
  </si>
  <si>
    <t>survey</t>
  </si>
  <si>
    <t>MADtrial - Inclusion</t>
  </si>
  <si>
    <t>MADtrial - Inclusão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</si>
  <si>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</si>
  <si>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</si>
  <si>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</si>
  <si>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</si>
  <si>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</si>
  <si>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</si>
  <si>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</si>
  <si>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</si>
  <si>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</si>
  <si>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</si>
  <si>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</si>
  <si>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</si>
  <si>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</si>
  <si>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</si>
  <si>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</si>
  <si>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</si>
  <si>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</si>
  <si>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choice_filter</t>
  </si>
  <si>
    <t>do section inc</t>
  </si>
  <si>
    <t>constraint</t>
  </si>
  <si>
    <t>display.constraint_message.text.english</t>
  </si>
  <si>
    <t>display.constraint_message.text</t>
  </si>
  <si>
    <t>display.hint.text.english</t>
  </si>
  <si>
    <t>display.hint.text</t>
  </si>
  <si>
    <t>inputAttributes.type</t>
  </si>
  <si>
    <t>display.adate.helperText</t>
  </si>
  <si>
    <t>required</t>
  </si>
  <si>
    <t>comment</t>
  </si>
  <si>
    <t>begin screen</t>
  </si>
  <si>
    <t xml:space="preserve">if </t>
  </si>
  <si>
    <t>data('DATINC') == null</t>
  </si>
  <si>
    <t>added by Ane 2025-07-24 - to avoid overwriting information</t>
  </si>
  <si>
    <t>assign</t>
  </si>
  <si>
    <t>START</t>
  </si>
  <si>
    <t>now()</t>
  </si>
  <si>
    <t>DATINC</t>
  </si>
  <si>
    <t>adate.today()</t>
  </si>
  <si>
    <t>end if</t>
  </si>
  <si>
    <t>adate</t>
  </si>
  <si>
    <t>Date of inclusion</t>
  </si>
  <si>
    <t>Data de inclusão</t>
  </si>
  <si>
    <t>end screen</t>
  </si>
  <si>
    <t>select_one_dropdown</t>
  </si>
  <si>
    <t>bairro_csv</t>
  </si>
  <si>
    <t>BAIRRO</t>
  </si>
  <si>
    <t>Neighborhood</t>
  </si>
  <si>
    <t>Bairro</t>
  </si>
  <si>
    <t>if</t>
  </si>
  <si>
    <t>data('BAIRRO') == 77</t>
  </si>
  <si>
    <t>tabz_csv</t>
  </si>
  <si>
    <t>TABZ</t>
  </si>
  <si>
    <t>Neighborhood outside project area</t>
  </si>
  <si>
    <t>Bairro fora da área do projeto</t>
  </si>
  <si>
    <t>choice_item.BAIRRONR === data('BAIRRO')</t>
  </si>
  <si>
    <t>data('TABZ') == 7777</t>
  </si>
  <si>
    <t>text</t>
  </si>
  <si>
    <t>OUBAIRRO</t>
  </si>
  <si>
    <t>What neighborhood?</t>
  </si>
  <si>
    <t>Que bairro?</t>
  </si>
  <si>
    <t>else</t>
  </si>
  <si>
    <t>CAMOONDE</t>
  </si>
  <si>
    <t>Pleace describe how to find the house</t>
  </si>
  <si>
    <t>Por favor, descreva como encontrar a casa</t>
  </si>
  <si>
    <t>data('CAMOONDE') != null || data('TABZ') == 7777 || data('CAMO') != 9999</t>
  </si>
  <si>
    <t>OBS</t>
  </si>
  <si>
    <t>CAMO</t>
  </si>
  <si>
    <t xml:space="preserve"> </t>
  </si>
  <si>
    <t>Zone</t>
  </si>
  <si>
    <t>Zona</t>
  </si>
  <si>
    <t>integer</t>
  </si>
  <si>
    <t>House number (camo)</t>
  </si>
  <si>
    <t>Camo</t>
  </si>
  <si>
    <t>data('CAMO') != null || data('CAMOONDE') != null</t>
  </si>
  <si>
    <t>select_multiple</t>
  </si>
  <si>
    <t>ns</t>
  </si>
  <si>
    <t>camons</t>
  </si>
  <si>
    <t>data('camons') !=null</t>
  </si>
  <si>
    <t>Where?</t>
  </si>
  <si>
    <t>Onde?</t>
  </si>
  <si>
    <t>CNO</t>
  </si>
  <si>
    <t>data('BAIRRO') == 77 || freebase.characters(data('CNO')) == 5</t>
  </si>
  <si>
    <t>Must be 5 digits long:</t>
  </si>
  <si>
    <t>Deve ter 5 dígitos:</t>
  </si>
  <si>
    <t>number</t>
  </si>
  <si>
    <t>cnons</t>
  </si>
  <si>
    <t>data('cnons') != null</t>
  </si>
  <si>
    <t>NOMECRI</t>
  </si>
  <si>
    <t>Child's name</t>
  </si>
  <si>
    <t>Nome de criança</t>
  </si>
  <si>
    <t>select_one</t>
  </si>
  <si>
    <t>sexo</t>
  </si>
  <si>
    <t>SEX</t>
  </si>
  <si>
    <t>Sex of the child</t>
  </si>
  <si>
    <t>Sexo da criança</t>
  </si>
  <si>
    <t>NOMEMAE</t>
  </si>
  <si>
    <t>Name of mother</t>
  </si>
  <si>
    <t>Nome da mãe</t>
  </si>
  <si>
    <t>select_one_with_other</t>
  </si>
  <si>
    <t>resp</t>
  </si>
  <si>
    <t>RESP</t>
  </si>
  <si>
    <t>Who brought the child?</t>
  </si>
  <si>
    <t>Quem trouxe a criança?</t>
  </si>
  <si>
    <t>data('RESP') != '1' &amp;&amp; data('RESP') != null</t>
  </si>
  <si>
    <t>NOMERESP</t>
  </si>
  <si>
    <t>Name of person</t>
  </si>
  <si>
    <t>Nome da pessoa</t>
  </si>
  <si>
    <t>REGNO</t>
  </si>
  <si>
    <t>regnons</t>
  </si>
  <si>
    <t>data('regnons') != null</t>
  </si>
  <si>
    <t>data('BAIRRO') != 77</t>
  </si>
  <si>
    <t>ID</t>
  </si>
  <si>
    <t>ID (BHP)</t>
  </si>
  <si>
    <t>ID (PSB)</t>
  </si>
  <si>
    <t>(data('ID')&gt;999999  &amp;&amp; data('ID')&lt;10000000) || data('BAIRRO') == 77</t>
  </si>
  <si>
    <t>Must be 7 digits long:</t>
  </si>
  <si>
    <t>Deve ter 7 dígitos:</t>
  </si>
  <si>
    <t>nsID</t>
  </si>
  <si>
    <t>idns</t>
  </si>
  <si>
    <t>data('idns') != null</t>
  </si>
  <si>
    <t>REGIDC</t>
  </si>
  <si>
    <t>Equipa móvel ID</t>
  </si>
  <si>
    <t>ID da equipa móvel</t>
  </si>
  <si>
    <t>data('REGIDC') &gt; 10000000 &amp;&amp; data('REGIDC') &lt; 1000000000 || data('BAIRRO') != 77</t>
  </si>
  <si>
    <t>Must be 8 digits long:</t>
  </si>
  <si>
    <t>Deve ter 8 dígitos:</t>
  </si>
  <si>
    <t>nsREGIDC</t>
  </si>
  <si>
    <t>regidcns</t>
  </si>
  <si>
    <t>data('regidcns') !=null</t>
  </si>
  <si>
    <t>DOB</t>
  </si>
  <si>
    <t>Day of birth</t>
  </si>
  <si>
    <t>Data de nascimento</t>
  </si>
  <si>
    <t>adate.diffInDays(data('DATINC'), data('DOB'))&lt;1 || adate.hasUncertainty(data('DOB'))</t>
  </si>
  <si>
    <t>The date cannot be in the future:</t>
  </si>
  <si>
    <t>A data não pode estar no futuro:</t>
  </si>
  <si>
    <t>datens</t>
  </si>
  <si>
    <t>dobns</t>
  </si>
  <si>
    <t>data('dobns') != null</t>
  </si>
  <si>
    <t>"D:NS,M:NS,Y:NS"</t>
  </si>
  <si>
    <t>data('DOB')=="D:NS,M:NS,Y:NS"</t>
  </si>
  <si>
    <t>IDADEANO</t>
  </si>
  <si>
    <t>Age - year(s)</t>
  </si>
  <si>
    <t>Idade - ano(s)</t>
  </si>
  <si>
    <t>IDADEMES</t>
  </si>
  <si>
    <t>Age - month(s)</t>
  </si>
  <si>
    <t>Idade - mes(es)</t>
  </si>
  <si>
    <t>note</t>
  </si>
  <si>
    <t>The child has to be under 5 years and over 9 months</t>
  </si>
  <si>
    <t>A criança deve ter entre 9 méses e 5 anos de idade</t>
  </si>
  <si>
    <t>sim/não</t>
  </si>
  <si>
    <t>CONSENT</t>
  </si>
  <si>
    <t>Does the mother/father/guardian consent to enrolment?</t>
  </si>
  <si>
    <t>A mãe/pai/tutor aceita inclusão no estudo?</t>
  </si>
  <si>
    <t>data('CONSENT') == '1'</t>
  </si>
  <si>
    <t>signature</t>
  </si>
  <si>
    <t>CONSENTTIPO</t>
  </si>
  <si>
    <t>Type of signature</t>
  </si>
  <si>
    <t>Tipo da assinatura</t>
  </si>
  <si>
    <t>data('CONSENTTIPO') == '2'</t>
  </si>
  <si>
    <t>sim</t>
  </si>
  <si>
    <t>TESTEMUNHO</t>
  </si>
  <si>
    <t>The witness signed the consent form</t>
  </si>
  <si>
    <t>O testemunho assina o formulário de consentimento</t>
  </si>
  <si>
    <t>selected(data('TESTEMUNHO'),'1') || data('CONSENTTIPO') != '2'</t>
  </si>
  <si>
    <t>A witness has to sign the consent form:</t>
  </si>
  <si>
    <t>Um testemunho deve assinar o formulário de consentimento:</t>
  </si>
  <si>
    <t>TELEMOVEL1</t>
  </si>
  <si>
    <t>Phone number 1</t>
  </si>
  <si>
    <t>Número de telemovel 1</t>
  </si>
  <si>
    <t>data('TELEMOVEL1') &gt; 99999999 &amp;&amp; data('TELEMOVEL1') &lt; 1000000000 || data('CONSENT') == '2'</t>
  </si>
  <si>
    <t>Must be 9 digits long:</t>
  </si>
  <si>
    <t>Deve ter 9 dígitos:</t>
  </si>
  <si>
    <t>telinf1</t>
  </si>
  <si>
    <t>TELEINF1</t>
  </si>
  <si>
    <t>TELEMOVEL2</t>
  </si>
  <si>
    <t>Phone number 2</t>
  </si>
  <si>
    <t>Número de telemovel 2</t>
  </si>
  <si>
    <t>data('TELEMOVEL2') &gt; 99999999 &amp;&amp; data('TELEMOVEL2') &lt; 1000000000 || data('CONSENT') == '2'</t>
  </si>
  <si>
    <t>telinf2</t>
  </si>
  <si>
    <t>TELEINF2</t>
  </si>
  <si>
    <t>TELEMOVEL3</t>
  </si>
  <si>
    <t>Phone number 3</t>
  </si>
  <si>
    <t>Número de telemovel 3</t>
  </si>
  <si>
    <t>data('TELEMOVEL3') &gt; 99999999 &amp;&amp; data('TELEMOVEL3') &lt; 1000000000 || data('CONSENT') == '2'</t>
  </si>
  <si>
    <t>TELEINF3</t>
  </si>
  <si>
    <t>data('TELEINF2') == '3'</t>
  </si>
  <si>
    <t>data('TELEINF3') == '3'</t>
  </si>
  <si>
    <t>CARTVIS</t>
  </si>
  <si>
    <t>Was the vaccine card seen?</t>
  </si>
  <si>
    <t>O cartão de vacina foi visto?</t>
  </si>
  <si>
    <t>data('CARTVIS') != null || data('CONSENT') == '2'</t>
  </si>
  <si>
    <t>Required value not provided.</t>
  </si>
  <si>
    <t>Valor requerido não fornecido.</t>
  </si>
  <si>
    <t>data('CARTVIS') == '1'</t>
  </si>
  <si>
    <t>SARVAC</t>
  </si>
  <si>
    <t>Has the child received the first measles vaccine</t>
  </si>
  <si>
    <t>A criança recebeu a primeira vacina do sarampo</t>
  </si>
  <si>
    <t>data('SARVAC') != null || data('CONSENT') == '2' || data('CARTVIS') == '2'</t>
  </si>
  <si>
    <t>data('CARTVIS') == '2'</t>
  </si>
  <si>
    <t>VENAOVAS</t>
  </si>
  <si>
    <t>Mother/guardian confirmed that the child did not receive the first measles vaccine</t>
  </si>
  <si>
    <t>A mãe/tutor confirmou que a criança não recebeu o primero deose de vacina do sarampo</t>
  </si>
  <si>
    <t>data('VENAOVAS') != null || data('CONSENT') == '2' || data('CARTVIS') == '1'</t>
  </si>
  <si>
    <t>adate.diffInDays(data('DOB'), data('DATINC')) &gt; 453 || adate.hasUncertainty(data('DOB')) || (data('IDADEANO') == '1' &amp;&amp; data('IDADEMES') &gt; '3' || data('IDADEMES')&gt; '14' || data('IDADEANO') &gt; '1' )</t>
  </si>
  <si>
    <t>SARVAC2</t>
  </si>
  <si>
    <t>Has the child received the second measles vaccine</t>
  </si>
  <si>
    <t>A criança recebeu a segunda vacina do sarampo</t>
  </si>
  <si>
    <t>VENAOVAS2</t>
  </si>
  <si>
    <t>Mother/guardian confirmed that the child did not receive the second measles vaccine</t>
  </si>
  <si>
    <t>A mãe/tutor confirmou que a criança não recebeu a segunda vacina do sarampo</t>
  </si>
  <si>
    <t>image</t>
  </si>
  <si>
    <t>CARTIMG</t>
  </si>
  <si>
    <t>Please take a picture of the vaccine card</t>
  </si>
  <si>
    <t>Por favor, tire uma foto do cartão de vacina</t>
  </si>
  <si>
    <t>TEMPERATURA</t>
  </si>
  <si>
    <t>Temperatur</t>
  </si>
  <si>
    <t>Temperatura</t>
  </si>
  <si>
    <t>freebase.decimalPlaces(data('TEMPERATURA'))==1 || data('CONSENT') == '2'</t>
  </si>
  <si>
    <t>Must have 1 decimal:</t>
  </si>
  <si>
    <t>Deve ter 1 decimal:</t>
  </si>
  <si>
    <t>Write the temperature with 1 decimal</t>
  </si>
  <si>
    <t>Escreva a temperatura com 1 decimal</t>
  </si>
  <si>
    <t>BRACOCRI</t>
  </si>
  <si>
    <t>Middle upper arm circumference</t>
  </si>
  <si>
    <t>Braço</t>
  </si>
  <si>
    <t>(data('BRACOCRI')&gt;49 &amp;&amp; data('BRACOCRI')&lt;343 &amp;&amp; data('BRACOCRI')%2 == 0) || data('CONSENT') == '2' || data('BRACOCRI') == 999</t>
  </si>
  <si>
    <t>Must be between 50 and 342 and a even number:</t>
  </si>
  <si>
    <t>Deve estar entre 50 e 342 e um número par:</t>
  </si>
  <si>
    <t>Motivo</t>
  </si>
  <si>
    <t>MOTCONT</t>
  </si>
  <si>
    <t>Reason for contact with the pediatric ward</t>
  </si>
  <si>
    <t>Motivo de contato com a pediatria</t>
  </si>
  <si>
    <t>data('MOTCONT')=='2'</t>
  </si>
  <si>
    <t>INTINICI</t>
  </si>
  <si>
    <t>Since day</t>
  </si>
  <si>
    <t>Desde dia</t>
  </si>
  <si>
    <t>adate.diffInDays(data('DATINC'), data('INTINICI'))&lt;1 || adate.hasUncertainty(data('INTINICI')) ||data('CONSENT') == '2'</t>
  </si>
  <si>
    <t>sim/não/ns</t>
  </si>
  <si>
    <t>FEBRE</t>
  </si>
  <si>
    <t>Fever</t>
  </si>
  <si>
    <t>Febre</t>
  </si>
  <si>
    <t>DIARREIA</t>
  </si>
  <si>
    <t>Diarrhea</t>
  </si>
  <si>
    <t>Diarreia</t>
  </si>
  <si>
    <t>VOMITO</t>
  </si>
  <si>
    <t>Vomit</t>
  </si>
  <si>
    <t>Vômito</t>
  </si>
  <si>
    <t>data('MOTCONT')=='1'</t>
  </si>
  <si>
    <t>REGDATE</t>
  </si>
  <si>
    <t>data("DATINC")</t>
  </si>
  <si>
    <t>data("INTINICI")</t>
  </si>
  <si>
    <t>RENORREI</t>
  </si>
  <si>
    <t>Runny nose</t>
  </si>
  <si>
    <t>Rinorreia (ranho)</t>
  </si>
  <si>
    <t>TOSSE</t>
  </si>
  <si>
    <t>Cough</t>
  </si>
  <si>
    <t>Tosse</t>
  </si>
  <si>
    <t>DIFRESP</t>
  </si>
  <si>
    <t>Respiratory difficulty</t>
  </si>
  <si>
    <t>Dificuldade respiratória</t>
  </si>
  <si>
    <t>CONVULSA</t>
  </si>
  <si>
    <t>Convulsion</t>
  </si>
  <si>
    <t>Convulsão</t>
  </si>
  <si>
    <t>OSIMP</t>
  </si>
  <si>
    <t>Other symptoms</t>
  </si>
  <si>
    <t>Outros sintomas</t>
  </si>
  <si>
    <t>TRATAMENT_A</t>
  </si>
  <si>
    <t>Did the child receive any treatments?</t>
  </si>
  <si>
    <t>A criança recebeu algum tratamento (antes inclusao)?</t>
  </si>
  <si>
    <t>data('TRATAMENT_A') =='1'</t>
  </si>
  <si>
    <t>tratament</t>
  </si>
  <si>
    <t>TRATQUAL_A</t>
  </si>
  <si>
    <t>What treatments did the child recieve?</t>
  </si>
  <si>
    <t>Qual tratamento foi dado?</t>
  </si>
  <si>
    <t>selected(data('TRATQUAL_A'),'77')</t>
  </si>
  <si>
    <t>TRATQUALOU_A</t>
  </si>
  <si>
    <t>Other:</t>
  </si>
  <si>
    <t>Outro:</t>
  </si>
  <si>
    <t>TRATAMENT_R</t>
  </si>
  <si>
    <t>Did the child get any treatments prescribed?</t>
  </si>
  <si>
    <t>A criança deve receber algum tratamento (receita)?</t>
  </si>
  <si>
    <t>data('TRATAMENT_R') =='1'</t>
  </si>
  <si>
    <t>TRATQUAL_R</t>
  </si>
  <si>
    <t>What treatments are prescribed ?</t>
  </si>
  <si>
    <t>Qual tratamento foi receitado?</t>
  </si>
  <si>
    <t>selected(data('TRATQUAL_R'),'77')</t>
  </si>
  <si>
    <t>TRATQUALOU_R</t>
  </si>
  <si>
    <t>TRATIMG</t>
  </si>
  <si>
    <t>If the child have a prescription, please take a photo</t>
  </si>
  <si>
    <t>Se a criança tiver uma receita médica, por favor tire uma foto</t>
  </si>
  <si>
    <t>PODEVAC</t>
  </si>
  <si>
    <t>Can the child receive a vaccine (VAS) today?</t>
  </si>
  <si>
    <t>A criança pode receber uma vacina (VAS) hoje?</t>
  </si>
  <si>
    <t>data('PODEVAC') != null || data('CONSENT') == '2'</t>
  </si>
  <si>
    <t>data('PODEVAC')=='2'</t>
  </si>
  <si>
    <t>NVACPOR</t>
  </si>
  <si>
    <t>Why?</t>
  </si>
  <si>
    <t>Porque?</t>
  </si>
  <si>
    <t>PODEINC</t>
  </si>
  <si>
    <t>Can the child be included today?</t>
  </si>
  <si>
    <t>A criança pode ser incluída hoje?</t>
  </si>
  <si>
    <t>data('PODEINC') != null || data('CONSENT') == '2'</t>
  </si>
  <si>
    <t>data('PODEINC')=='2'</t>
  </si>
  <si>
    <t>NINCPOR</t>
  </si>
  <si>
    <t>JAINC</t>
  </si>
  <si>
    <t>Is the child already participating in the study?</t>
  </si>
  <si>
    <t>A criança já está participando do estudo?</t>
  </si>
  <si>
    <t>data('JAINC') != null || data('CONSENT') == '2'</t>
  </si>
  <si>
    <t>data('PODEVAC')=='2'|| data('PODEINC')=='2'  || data('JAINC') == '1' || data('BRACOCRI') &lt;110 || data('TEMPERATURA')&gt;37.9 || data('VENAOVAS') == '2' ||  data('VENAOVAS2') == '2' || (data('SARVAC') == '1' &amp;&amp;  data('SARVAC2') != '2')||data('SARVAC2') == '1'  || adate.diffInDays(data('DOB'), data('DATINC')) &gt; 1826 || adate.diffInDays(data('DOB'), data('DATINC')) &lt; 270</t>
  </si>
  <si>
    <t>|| calculates.childAGE &gt;'1826</t>
  </si>
  <si>
    <t>INC</t>
  </si>
  <si>
    <t>The child is not to be included, since:</t>
  </si>
  <si>
    <t>A criança não deve ser incluída, porque:</t>
  </si>
  <si>
    <t>The nurse assessed that the child should not be vaccinated</t>
  </si>
  <si>
    <t>A enfermeira avaliou que a criança não deve ser vacinada</t>
  </si>
  <si>
    <t>The nurse assessed that the child should not be included</t>
  </si>
  <si>
    <t>A enfermeira avaliou que a criança não deveria ser incluída</t>
  </si>
  <si>
    <t>data('JAINC') == '1'</t>
  </si>
  <si>
    <t>The child already participating in the study</t>
  </si>
  <si>
    <t>A criança já participa no estudo</t>
  </si>
  <si>
    <t>data('BRACOCRI') &lt;110</t>
  </si>
  <si>
    <t>Upper middle arm circumference is smaller than 110 mm ({{data.BRACOCRI}})</t>
  </si>
  <si>
    <t>A braço é menor do que 110 mm ({{data.BRACOCRI}})</t>
  </si>
  <si>
    <t>data('TEMPERATURA')&gt;38</t>
  </si>
  <si>
    <t>The temperature is greater than 37.9 ({{data.TEMPERATURA}})</t>
  </si>
  <si>
    <t>A temperatura é mais alta do que 37,9 ({{data.TEMPERATURA}})</t>
  </si>
  <si>
    <t>data('VENAOVAS2') == '2'</t>
  </si>
  <si>
    <t>Mother/guardian could not confirm that the child did not receive the first measles vaccine</t>
  </si>
  <si>
    <t>Mãe/tutor não pôde confirmar que a criança não recebeu a primeira vacina do sarampo</t>
  </si>
  <si>
    <t>data('VENAOVAS') == '2'</t>
  </si>
  <si>
    <t>Mother/guardian could not confirm that the child did not receive the second measles vaccine</t>
  </si>
  <si>
    <t>Mãe/tutor não pôde confirmar que a criança não recebeu a segunda vacina do sarampo</t>
  </si>
  <si>
    <t>The child has previously received both measles vaccines</t>
  </si>
  <si>
    <t>A criança recebeu os seus vacinas do sarampo</t>
  </si>
  <si>
    <t>data('SARVAC2') == '1'</t>
  </si>
  <si>
    <t>The child has previously received the second measles vaccine</t>
  </si>
  <si>
    <t>calculates.childAGE &gt;'1826'</t>
  </si>
  <si>
    <t>The child is too old</t>
  </si>
  <si>
    <t>A crianca tem idade maior de 5 anos</t>
  </si>
  <si>
    <t>RANDOM1</t>
  </si>
  <si>
    <t>First randomization number</t>
  </si>
  <si>
    <t>Primeiro número de randomização</t>
  </si>
  <si>
    <t>data('RANDOM2')&lt;501 &amp;&amp; data('RANDOM1')&gt;0 || data('INC') == '2'</t>
  </si>
  <si>
    <t>Must be 1-500:</t>
  </si>
  <si>
    <t>Deve ser de 1 a 500:</t>
  </si>
  <si>
    <t>RANDOM2</t>
  </si>
  <si>
    <t>Second randomization number</t>
  </si>
  <si>
    <t>Segundo número de randomização</t>
  </si>
  <si>
    <t>data('RANDOM2')&lt;13 &amp;&amp; data('RANDOM2')&gt;0 || data('INC') == '2'</t>
  </si>
  <si>
    <t>Must be 1-12:</t>
  </si>
  <si>
    <t>Deve ser de 1 a 12:</t>
  </si>
  <si>
    <t>RANDOM</t>
  </si>
  <si>
    <t>freebase.randomLabel(data('SEX'),data('RANDOM1'),data('RANDOM2'))</t>
  </si>
  <si>
    <t>Label: &lt;b&gt;{{data.RANDOM}}&lt;/b&gt;</t>
  </si>
  <si>
    <t>Etiqueta: &lt;b&gt;{{data.RANDOM}}&lt;/b&gt;</t>
  </si>
  <si>
    <t>DATVACVAS</t>
  </si>
  <si>
    <t>data('DATINC')</t>
  </si>
  <si>
    <t>Date of vaccination</t>
  </si>
  <si>
    <t>Data da vacinação</t>
  </si>
  <si>
    <t>time</t>
  </si>
  <si>
    <t>HORA</t>
  </si>
  <si>
    <t>Time of vaccination</t>
  </si>
  <si>
    <t>Hora da vacinação</t>
  </si>
  <si>
    <t xml:space="preserve">data('HORVACVAS') != null || data('INC') == '2' </t>
  </si>
  <si>
    <t>HORVACVAS</t>
  </si>
  <si>
    <t>adate.hoursMinutes(data('HORA'))</t>
  </si>
  <si>
    <t>NUM</t>
  </si>
  <si>
    <t>Study number</t>
  </si>
  <si>
    <t>Número de estudo</t>
  </si>
  <si>
    <t>data('NUM')&gt;0 || data('INC') == '2' || data('changeid') != null || data('changetabz') != null</t>
  </si>
  <si>
    <t>Cannot be negative:</t>
  </si>
  <si>
    <t>Não pode ser negativo:</t>
  </si>
  <si>
    <t>NUMEST</t>
  </si>
  <si>
    <t>freebase.studyNumber("MAD",4,data('NUM'))</t>
  </si>
  <si>
    <t>Study number: &lt;b&gt;{{data.NUMEST}}&lt;/b&gt;</t>
  </si>
  <si>
    <t>Número de estudo: &lt;b&gt;{{data.NUMEST}}&lt;/b&gt;</t>
  </si>
  <si>
    <t>enf</t>
  </si>
  <si>
    <t>ENFERMEI</t>
  </si>
  <si>
    <t>Nurse</t>
  </si>
  <si>
    <t>Enfermeira</t>
  </si>
  <si>
    <t>data('INC') == '1'</t>
  </si>
  <si>
    <t>ass</t>
  </si>
  <si>
    <t>ASSISTEN</t>
  </si>
  <si>
    <t>Assistant</t>
  </si>
  <si>
    <t>Assistente</t>
  </si>
  <si>
    <t>&lt;font color = "red"&gt;End the enrolment as consent has not been obtained&lt;/font &gt;</t>
  </si>
  <si>
    <t>&lt;font color = "red"&gt; Finalize a inclusão porque o consentimento não foi dado &lt;/font&gt;</t>
  </si>
  <si>
    <t>choice_list_name</t>
  </si>
  <si>
    <t>data_value</t>
  </si>
  <si>
    <t>Comment</t>
  </si>
  <si>
    <t>Male</t>
  </si>
  <si>
    <t>Masculino</t>
  </si>
  <si>
    <t>Female</t>
  </si>
  <si>
    <t>Feminino</t>
  </si>
  <si>
    <t>Yes</t>
  </si>
  <si>
    <t>Sim</t>
  </si>
  <si>
    <t>No</t>
  </si>
  <si>
    <t>Não</t>
  </si>
  <si>
    <t>Consultation</t>
  </si>
  <si>
    <t>Consulta</t>
  </si>
  <si>
    <t>Hospitalization</t>
  </si>
  <si>
    <t>Internamento</t>
  </si>
  <si>
    <t>Dont't know</t>
  </si>
  <si>
    <t>Não sabe</t>
  </si>
  <si>
    <t>Don't know</t>
  </si>
  <si>
    <t>Abrao</t>
  </si>
  <si>
    <t>removed Suzete (enf=1) on 19-01-2022</t>
  </si>
  <si>
    <t>Augosto Da Costa</t>
  </si>
  <si>
    <t>Abdel</t>
  </si>
  <si>
    <t>Justiniano</t>
  </si>
  <si>
    <t>removed Suzete (ass=11) on 19-01-2022</t>
  </si>
  <si>
    <t>removed fatima - ass=1 on 20250723</t>
  </si>
  <si>
    <t>Josemira</t>
  </si>
  <si>
    <t>Paracetamol</t>
  </si>
  <si>
    <t>Amoxicillina</t>
  </si>
  <si>
    <t>Complexo B</t>
  </si>
  <si>
    <t>Salbutamol</t>
  </si>
  <si>
    <t>Diazepam</t>
  </si>
  <si>
    <t>Prometazina</t>
  </si>
  <si>
    <t>Soro fisiologico</t>
  </si>
  <si>
    <t>added 16-02-2022</t>
  </si>
  <si>
    <t>Vitamina C</t>
  </si>
  <si>
    <t>added 16-02-2023</t>
  </si>
  <si>
    <t>SRO</t>
  </si>
  <si>
    <t>added 16-02-2024</t>
  </si>
  <si>
    <t>Sulfate de Zinco</t>
  </si>
  <si>
    <t>added 16-02-2025</t>
  </si>
  <si>
    <t>Azitomicina</t>
  </si>
  <si>
    <t>added 16-02-2026</t>
  </si>
  <si>
    <t>Brufen</t>
  </si>
  <si>
    <t>added 16-02-2027</t>
  </si>
  <si>
    <t>Albendazol</t>
  </si>
  <si>
    <t>added 16-02-2028</t>
  </si>
  <si>
    <t>Mebendazol</t>
  </si>
  <si>
    <t>added 16-02-2029</t>
  </si>
  <si>
    <t>Metroniazol</t>
  </si>
  <si>
    <t>added 16-02-2030</t>
  </si>
  <si>
    <t>Nistatina</t>
  </si>
  <si>
    <t>added 16-02-2031</t>
  </si>
  <si>
    <t>Augmentin</t>
  </si>
  <si>
    <t>added 16-02-2032</t>
  </si>
  <si>
    <t>Erytromecina</t>
  </si>
  <si>
    <t>added 16-02-2033</t>
  </si>
  <si>
    <t>Other</t>
  </si>
  <si>
    <t>Outro</t>
  </si>
  <si>
    <t>Mother</t>
  </si>
  <si>
    <t>Mãe</t>
  </si>
  <si>
    <t>Father</t>
  </si>
  <si>
    <t>Pai</t>
  </si>
  <si>
    <t>Don't have another phone number</t>
  </si>
  <si>
    <t>Não tem outro número de telefone</t>
  </si>
  <si>
    <t>Didn't suceed to identify ID</t>
  </si>
  <si>
    <t>Don't have ID</t>
  </si>
  <si>
    <t>Não tem ID</t>
  </si>
  <si>
    <t>Signature</t>
  </si>
  <si>
    <t>Assinatura</t>
  </si>
  <si>
    <t>Fingerprint</t>
  </si>
  <si>
    <t>Impressão digital</t>
  </si>
  <si>
    <t>Sibling</t>
  </si>
  <si>
    <t>Irmã(o)</t>
  </si>
  <si>
    <t>Mothers mother</t>
  </si>
  <si>
    <t>Avó</t>
  </si>
  <si>
    <t>calculation_name</t>
  </si>
  <si>
    <t>childAGE</t>
  </si>
  <si>
    <t>adate.diffInDays(data("DOB"),data("DATINC"))</t>
  </si>
  <si>
    <t>query_name</t>
  </si>
  <si>
    <t>query_type</t>
  </si>
  <si>
    <t>uri</t>
  </si>
  <si>
    <t>callback</t>
  </si>
  <si>
    <t>csv</t>
  </si>
  <si>
    <t>"TABZ.csv"</t>
  </si>
  <si>
    <t>_.chain(context)
.uniq(function(x) {
return x.BAIRRONR
})
.map(function(place){
return {
data_value:place.BAIRRONR,
display:{title: {text: place.BAIRRO} } };
}).value()</t>
  </si>
  <si>
    <t>_.map(context, function(place){place.data_value = place.TABZ;
place.display = {title: {text: place.ZONE} };
return place;
})</t>
  </si>
  <si>
    <t>prompt_type_name</t>
  </si>
  <si>
    <t>elementType</t>
  </si>
  <si>
    <t>string</t>
  </si>
  <si>
    <t>Save only mm.dd.yyyy with support for ?? at all positions</t>
  </si>
  <si>
    <t>isSessionVariable</t>
  </si>
  <si>
    <t>comments</t>
  </si>
  <si>
    <t>inc</t>
  </si>
  <si>
    <t>TRATAMENT</t>
  </si>
  <si>
    <t>TRATQUAL</t>
  </si>
  <si>
    <t>TRATQUALOU</t>
  </si>
  <si>
    <t>changeid</t>
  </si>
  <si>
    <t>edit</t>
  </si>
  <si>
    <t>changetabz</t>
  </si>
  <si>
    <t>changeregno</t>
  </si>
  <si>
    <t>changeregdate</t>
  </si>
  <si>
    <t>Não conseguiu identificar o ID</t>
  </si>
  <si>
    <t>((adate.diffInDays(data('DOB'), data('DATINC'))&gt;1826) || (adate.diffInDays(data('DOB'), data('DATINC'))&lt;270)) &amp;&amp; data('DOB') != "D:NS,M:NS,Y:NS"</t>
  </si>
  <si>
    <t>data('SARVAC') == '1'&amp;&amp; data('SARVAC2')=='1'</t>
  </si>
  <si>
    <t>The child is &lt;15 months and has received the first MV</t>
  </si>
  <si>
    <t>((adate.diffInDays(data('DOB'), data('DATINC'))&lt;453) &amp;&amp; data('SARVAC')=='1') &amp;&amp; data('DOB') != "D:NS,M:NS,Y:NS"</t>
  </si>
  <si>
    <t>A criança recebeu a primeia vacina do sarampo e ainda não tem idade para o segundo dose</t>
  </si>
  <si>
    <r>
      <t>data('SARVAC2') != null || data('CONSENT') == '2' || data('CARTVIS') == '2' |</t>
    </r>
    <r>
      <rPr>
        <sz val="11"/>
        <color rgb="FFFF0000"/>
        <rFont val="Calibri"/>
        <family val="2"/>
        <scheme val="minor"/>
      </rPr>
      <t>| data('SARVAC') == '2'</t>
    </r>
  </si>
  <si>
    <t>REGNO_ASSIST</t>
  </si>
  <si>
    <t>Primeira número de registo (assistente)</t>
  </si>
  <si>
    <t>Segundo Número de registo (nummero de triagem)</t>
  </si>
  <si>
    <t>First Register number (assistant)</t>
  </si>
  <si>
    <t>Second Register number (triage survey)</t>
  </si>
  <si>
    <t>CICA</t>
  </si>
  <si>
    <t>Horizontal measurement</t>
  </si>
  <si>
    <t>Medição - Largura</t>
  </si>
  <si>
    <t>Vertical measurement</t>
  </si>
  <si>
    <t>Medição - Altura</t>
  </si>
  <si>
    <t>selected(data('CICA'),'1')</t>
  </si>
  <si>
    <t>CICAH</t>
  </si>
  <si>
    <t>CICAV</t>
  </si>
  <si>
    <t>evuloir</t>
  </si>
  <si>
    <t>evolucao</t>
  </si>
  <si>
    <t>data("evulocao") != null</t>
  </si>
  <si>
    <t>Does the mother have a BCG scar?</t>
  </si>
  <si>
    <t>A mãe tem cicatriz de BCG ?</t>
  </si>
  <si>
    <t>Does the child have a BCG scar?</t>
  </si>
  <si>
    <t>A crianca tem cicatriz de BCG ?</t>
  </si>
  <si>
    <t>CICA_M</t>
  </si>
  <si>
    <t>CICAH_M</t>
  </si>
  <si>
    <t>CICAV_M</t>
  </si>
  <si>
    <t>tipomae</t>
  </si>
  <si>
    <t>1</t>
  </si>
  <si>
    <t>Scar</t>
  </si>
  <si>
    <t>Cicatriz</t>
  </si>
  <si>
    <t>No scar</t>
  </si>
  <si>
    <t>Nada</t>
  </si>
  <si>
    <t>8</t>
  </si>
  <si>
    <t>Not possible to measure</t>
  </si>
  <si>
    <t>selected(data('CICA_M'),'1')</t>
  </si>
  <si>
    <t>selected(data('CICA_M'),'8')</t>
  </si>
  <si>
    <t>Evoluir</t>
  </si>
  <si>
    <t>data('CICA')!=null</t>
  </si>
  <si>
    <t>data('CICA_M')!=null</t>
  </si>
  <si>
    <t>added 12-06-2026</t>
  </si>
  <si>
    <t>Condição de midir não tem</t>
  </si>
  <si>
    <t>data('CICAV')&gt;0 || data('CICA') != '1'</t>
  </si>
  <si>
    <t>data('CICAH')&gt;0 || data('CICA')!='1'</t>
  </si>
  <si>
    <t>data('CICAH_M')&gt;0|| data('CICA_M')!='1'</t>
  </si>
  <si>
    <t>data('CICAV_M')&gt;0 || data('CICA_M')!='1'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</si>
</sst>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6]General"/>
  </numFmts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name val="Calibri"/>
    </font>
    <font>
      <sz val="10"/>
      <name val="Arial"/>
    </font>
    <font>
      <b/>
      <sz val="11"/>
      <color theme="1"/>
      <name val="Calibri"/>
      <scheme val="minor"/>
    </font>
    <font>
      <b/>
      <sz val="11"/>
      <name val="Calibri"/>
      <scheme val="minor"/>
    </font>
    <font>
      <sz val="11"/>
      <name val="Calibri"/>
      <scheme val="minor"/>
    </font>
    <font>
      <b/>
      <sz val="11"/>
      <color rgb="FF404040"/>
      <name val="Calibri"/>
      <scheme val="minor"/>
    </font>
    <font>
      <sz val="11"/>
      <color theme="1"/>
      <name val="Calibri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indexed="5"/>
        <bgColor indexed="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164" fontId="2" fillId="0" borderId="0"/>
    <xf numFmtId="0" fontId="3" fillId="0" borderId="0"/>
    <xf numFmtId="0" fontId="8" fillId="0" borderId="0"/>
  </cellStyleXfs>
  <cellXfs count="18">
    <xf numFmtId="0" fontId="0" fillId="0" borderId="0" xfId="0"/>
    <xf numFmtId="0" fontId="4" fillId="0" borderId="1" xfId="0" applyFont="1" applyBorder="1"/>
    <xf numFmtId="0" fontId="0" fillId="0" borderId="0" xfId="0" applyAlignment="1">
      <alignment wrapText="1"/>
    </xf>
    <xf numFmtId="0" fontId="5" fillId="0" borderId="0" xfId="0" applyFont="1"/>
    <xf numFmtId="0" fontId="0" fillId="2" borderId="0" xfId="0" applyFill="1"/>
    <xf numFmtId="0" fontId="6" fillId="0" borderId="0" xfId="0" applyFont="1"/>
    <xf numFmtId="0" fontId="0" fillId="0" borderId="0" xfId="0" quotePrefix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1" xfId="0" applyBorder="1"/>
    <xf numFmtId="0" fontId="3" fillId="0" borderId="0" xfId="0" applyFont="1"/>
    <xf numFmtId="0" fontId="7" fillId="0" borderId="0" xfId="0" applyFont="1"/>
    <xf numFmtId="0" fontId="4" fillId="0" borderId="0" xfId="0" applyFont="1"/>
    <xf numFmtId="0" fontId="8" fillId="0" borderId="0" xfId="3"/>
    <xf numFmtId="0" fontId="1" fillId="0" borderId="0" xfId="0" applyFont="1"/>
    <xf numFmtId="0" fontId="0" fillId="6" borderId="0" xfId="0" applyFill="1"/>
    <xf numFmtId="0" fontId="0" fillId="7" borderId="0" xfId="0" applyFill="1"/>
  </cellXfs>
  <cellStyles count="4">
    <cellStyle name="Excel Built-in Normal" xfId="1" xr:uid="{00000000-0005-0000-0000-000000000000}"/>
    <cellStyle name="Normal" xfId="0" builtinId="0"/>
    <cellStyle name="Normal 2" xfId="2" xr:uid="{00000000-0005-0000-0000-000002000000}"/>
    <cellStyle name="Normal 4" xfId="3" xr:uid="{00000000-0005-0000-0000-000003000000}"/>
  </cellStyles>
  <dxfs count="0"/>
  <tableStyles count="1" defaultTableStyle="TableStyleMedium2" defaultPivotStyle="PivotStyleLight16">
    <tableStyle name="Invisible" pivot="0" table="0" count="0" xr9:uid="{57B66A72-3F33-4BAC-B051-48D61178ACC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>
      <pane ySplit="1" topLeftCell="A2" activePane="bottomLeft" state="frozen"/>
      <selection activeCell="D23" sqref="D23"/>
      <selection pane="bottomLeft"/>
    </sheetView>
  </sheetViews>
  <sheetFormatPr defaultRowHeight="14.5" x14ac:dyDescent="0.35"/>
  <cols>
    <col min="1" max="1" width="13.26953125" bestFit="1" customWidth="1"/>
    <col min="2" max="2" width="10.1796875" bestFit="1" customWidth="1"/>
    <col min="3" max="3" width="29" bestFit="1" customWidth="1"/>
    <col min="4" max="4" width="27" bestFit="1" customWidth="1"/>
    <col min="5" max="5" width="24.7265625" bestFit="1" customWidth="1"/>
    <col min="6" max="6" width="28.54296875" bestFit="1" customWidth="1"/>
  </cols>
  <sheetData>
    <row r="1" spans="1:6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</v>
      </c>
    </row>
    <row r="3" spans="1:6" x14ac:dyDescent="0.35">
      <c r="A3" t="s">
        <v>8</v>
      </c>
      <c r="B3">
        <v>60120</v>
      </c>
    </row>
    <row r="4" spans="1:6" x14ac:dyDescent="0.35">
      <c r="A4" t="s">
        <v>9</v>
      </c>
      <c r="B4" t="s">
        <v>7</v>
      </c>
    </row>
    <row r="5" spans="1:6" x14ac:dyDescent="0.35">
      <c r="A5" t="s">
        <v>10</v>
      </c>
      <c r="C5" t="s">
        <v>11</v>
      </c>
      <c r="D5" t="s">
        <v>12</v>
      </c>
    </row>
    <row r="6" spans="1:6" x14ac:dyDescent="0.35">
      <c r="A6" t="s">
        <v>13</v>
      </c>
      <c r="E6" t="s">
        <v>14</v>
      </c>
      <c r="F6" t="s">
        <v>15</v>
      </c>
    </row>
    <row r="7" spans="1:6" x14ac:dyDescent="0.35">
      <c r="A7" t="s">
        <v>16</v>
      </c>
      <c r="E7" t="s">
        <v>17</v>
      </c>
      <c r="F7" t="s">
        <v>18</v>
      </c>
    </row>
    <row r="8" spans="1:6" x14ac:dyDescent="0.35">
      <c r="A8" s="2" t="s">
        <v>19</v>
      </c>
      <c r="B8" s="2" t="s">
        <v>20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.453125" bestFit="1" customWidth="1"/>
    <col min="2" max="2" width="14.26953125" bestFit="1" customWidth="1"/>
    <col min="3" max="3" width="24.7265625" bestFit="1" customWidth="1"/>
    <col min="5" max="5" width="10.453125" bestFit="1" customWidth="1"/>
    <col min="7" max="7" width="26.1796875" bestFit="1" customWidth="1"/>
    <col min="8" max="8" width="18.81640625" bestFit="1" customWidth="1"/>
    <col min="9" max="9" width="10.54296875" bestFit="1" customWidth="1"/>
    <col min="10" max="10" width="12.1796875" bestFit="1" customWidth="1"/>
  </cols>
  <sheetData>
    <row r="1" spans="1:10" s="1" customFormat="1" x14ac:dyDescent="0.3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 spans="1:10" x14ac:dyDescent="0.35">
      <c r="B2" t="s">
        <v>31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85"/>
  <sheetViews>
    <sheetView tabSelected="1" topLeftCell="E1" zoomScale="84" workbookViewId="0">
      <pane ySplit="1" topLeftCell="A128" activePane="bottomLeft" state="frozen"/>
      <selection activeCell="T183" sqref="T183"/>
      <selection pane="bottomLeft" activeCell="K150" sqref="K150"/>
    </sheetView>
  </sheetViews>
  <sheetFormatPr defaultRowHeight="14.5" x14ac:dyDescent="0.35"/>
  <cols>
    <col min="1" max="1" width="12.453125" bestFit="1" customWidth="1"/>
    <col min="2" max="2" width="12.26953125" bestFit="1" customWidth="1"/>
    <col min="3" max="3" width="32.81640625" customWidth="1"/>
    <col min="4" max="4" width="22" bestFit="1" customWidth="1"/>
    <col min="5" max="5" width="13.1796875" bestFit="1" customWidth="1"/>
    <col min="6" max="6" width="14.54296875" bestFit="1" customWidth="1"/>
    <col min="7" max="7" width="45.54296875" customWidth="1"/>
    <col min="8" max="8" width="35.453125" customWidth="1"/>
    <col min="9" max="9" width="15.7265625" bestFit="1" customWidth="1"/>
    <col min="10" max="10" width="13.54296875" customWidth="1"/>
    <col min="11" max="11" width="30.7265625" customWidth="1"/>
    <col min="12" max="12" width="37.453125" bestFit="1" customWidth="1"/>
    <col min="13" max="13" width="30.26953125" bestFit="1" customWidth="1"/>
    <col min="14" max="14" width="23" bestFit="1" customWidth="1"/>
    <col min="15" max="15" width="15.7265625" bestFit="1" customWidth="1"/>
  </cols>
  <sheetData>
    <row r="1" spans="1:19" s="1" customFormat="1" x14ac:dyDescent="0.3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32</v>
      </c>
      <c r="L1" s="1" t="s">
        <v>33</v>
      </c>
      <c r="M1" s="1" t="s">
        <v>34</v>
      </c>
      <c r="N1" s="1" t="s">
        <v>35</v>
      </c>
      <c r="O1" s="1" t="s">
        <v>36</v>
      </c>
      <c r="P1" s="3" t="s">
        <v>37</v>
      </c>
      <c r="Q1" s="1" t="s">
        <v>38</v>
      </c>
      <c r="R1" s="1" t="s">
        <v>39</v>
      </c>
      <c r="S1" s="1" t="s">
        <v>40</v>
      </c>
    </row>
    <row r="2" spans="1:19" x14ac:dyDescent="0.35">
      <c r="B2" t="s">
        <v>41</v>
      </c>
    </row>
    <row r="3" spans="1:19" x14ac:dyDescent="0.35">
      <c r="B3" s="4" t="s">
        <v>42</v>
      </c>
      <c r="C3" s="4" t="s">
        <v>43</v>
      </c>
      <c r="S3" s="4" t="s">
        <v>44</v>
      </c>
    </row>
    <row r="4" spans="1:19" x14ac:dyDescent="0.35">
      <c r="D4" t="s">
        <v>45</v>
      </c>
      <c r="F4" t="s">
        <v>46</v>
      </c>
      <c r="I4" t="s">
        <v>47</v>
      </c>
    </row>
    <row r="5" spans="1:19" x14ac:dyDescent="0.35">
      <c r="D5" t="s">
        <v>45</v>
      </c>
      <c r="F5" t="s">
        <v>48</v>
      </c>
      <c r="I5" t="s">
        <v>49</v>
      </c>
    </row>
    <row r="6" spans="1:19" x14ac:dyDescent="0.35">
      <c r="B6" s="4" t="s">
        <v>50</v>
      </c>
    </row>
    <row r="7" spans="1:19" x14ac:dyDescent="0.35">
      <c r="D7" t="s">
        <v>51</v>
      </c>
      <c r="F7" t="s">
        <v>48</v>
      </c>
      <c r="G7" t="s">
        <v>52</v>
      </c>
      <c r="H7" t="s">
        <v>53</v>
      </c>
      <c r="Q7" t="b">
        <v>0</v>
      </c>
    </row>
    <row r="8" spans="1:19" x14ac:dyDescent="0.35">
      <c r="B8" t="s">
        <v>54</v>
      </c>
    </row>
    <row r="9" spans="1:19" x14ac:dyDescent="0.35">
      <c r="B9" t="s">
        <v>41</v>
      </c>
    </row>
    <row r="14" spans="1:19" x14ac:dyDescent="0.35">
      <c r="D14" t="s">
        <v>55</v>
      </c>
      <c r="E14" t="s">
        <v>56</v>
      </c>
      <c r="F14" t="s">
        <v>57</v>
      </c>
      <c r="G14" t="s">
        <v>58</v>
      </c>
      <c r="H14" t="s">
        <v>59</v>
      </c>
    </row>
    <row r="15" spans="1:19" x14ac:dyDescent="0.35">
      <c r="B15" t="s">
        <v>60</v>
      </c>
      <c r="C15" t="s">
        <v>61</v>
      </c>
    </row>
    <row r="16" spans="1:19" x14ac:dyDescent="0.35">
      <c r="D16" t="s">
        <v>55</v>
      </c>
      <c r="E16" t="s">
        <v>62</v>
      </c>
      <c r="F16" t="s">
        <v>63</v>
      </c>
      <c r="G16" t="s">
        <v>64</v>
      </c>
      <c r="H16" t="s">
        <v>65</v>
      </c>
      <c r="J16" s="5" t="s">
        <v>66</v>
      </c>
    </row>
    <row r="17" spans="1:16" x14ac:dyDescent="0.35">
      <c r="B17" t="s">
        <v>60</v>
      </c>
      <c r="C17" t="s">
        <v>67</v>
      </c>
      <c r="J17" s="5"/>
    </row>
    <row r="18" spans="1:16" x14ac:dyDescent="0.35">
      <c r="D18" t="s">
        <v>68</v>
      </c>
      <c r="F18" t="s">
        <v>69</v>
      </c>
      <c r="G18" t="s">
        <v>70</v>
      </c>
      <c r="H18" t="s">
        <v>71</v>
      </c>
    </row>
    <row r="19" spans="1:16" x14ac:dyDescent="0.35">
      <c r="B19" t="s">
        <v>72</v>
      </c>
    </row>
    <row r="20" spans="1:16" x14ac:dyDescent="0.35">
      <c r="D20" t="s">
        <v>68</v>
      </c>
      <c r="F20" t="s">
        <v>73</v>
      </c>
      <c r="G20" t="s">
        <v>74</v>
      </c>
      <c r="H20" t="s">
        <v>75</v>
      </c>
      <c r="K20" t="s">
        <v>76</v>
      </c>
      <c r="L20" t="s">
        <v>77</v>
      </c>
      <c r="M20" t="s">
        <v>77</v>
      </c>
    </row>
    <row r="21" spans="1:16" x14ac:dyDescent="0.35">
      <c r="B21" t="s">
        <v>50</v>
      </c>
    </row>
    <row r="22" spans="1:16" x14ac:dyDescent="0.35">
      <c r="D22" t="s">
        <v>45</v>
      </c>
      <c r="F22" t="s">
        <v>78</v>
      </c>
      <c r="I22">
        <v>9999</v>
      </c>
    </row>
    <row r="23" spans="1:16" x14ac:dyDescent="0.35">
      <c r="B23" t="s">
        <v>72</v>
      </c>
    </row>
    <row r="24" spans="1:16" x14ac:dyDescent="0.35">
      <c r="A24" t="s">
        <v>79</v>
      </c>
      <c r="D24" t="s">
        <v>55</v>
      </c>
      <c r="E24" t="s">
        <v>62</v>
      </c>
      <c r="F24" t="s">
        <v>63</v>
      </c>
      <c r="G24" t="s">
        <v>80</v>
      </c>
      <c r="H24" t="s">
        <v>81</v>
      </c>
      <c r="J24" s="5" t="s">
        <v>66</v>
      </c>
    </row>
    <row r="25" spans="1:16" x14ac:dyDescent="0.35">
      <c r="D25" t="s">
        <v>82</v>
      </c>
      <c r="F25" t="s">
        <v>78</v>
      </c>
      <c r="G25" t="s">
        <v>83</v>
      </c>
      <c r="H25" t="s">
        <v>84</v>
      </c>
      <c r="K25" t="s">
        <v>85</v>
      </c>
      <c r="L25" t="s">
        <v>77</v>
      </c>
      <c r="M25" t="s">
        <v>77</v>
      </c>
    </row>
    <row r="26" spans="1:16" x14ac:dyDescent="0.35">
      <c r="D26" t="s">
        <v>86</v>
      </c>
      <c r="E26" t="s">
        <v>87</v>
      </c>
      <c r="F26" t="s">
        <v>88</v>
      </c>
    </row>
    <row r="27" spans="1:16" x14ac:dyDescent="0.35">
      <c r="B27" t="s">
        <v>60</v>
      </c>
      <c r="C27" t="s">
        <v>89</v>
      </c>
    </row>
    <row r="28" spans="1:16" x14ac:dyDescent="0.35">
      <c r="D28" t="s">
        <v>45</v>
      </c>
      <c r="F28" t="s">
        <v>78</v>
      </c>
      <c r="I28">
        <v>9999</v>
      </c>
    </row>
    <row r="29" spans="1:16" x14ac:dyDescent="0.35">
      <c r="D29" t="s">
        <v>68</v>
      </c>
      <c r="F29" t="s">
        <v>73</v>
      </c>
      <c r="G29" t="s">
        <v>90</v>
      </c>
      <c r="H29" t="s">
        <v>91</v>
      </c>
      <c r="K29" t="s">
        <v>76</v>
      </c>
      <c r="L29" t="s">
        <v>77</v>
      </c>
      <c r="M29" t="s">
        <v>77</v>
      </c>
    </row>
    <row r="30" spans="1:16" x14ac:dyDescent="0.35">
      <c r="B30" t="s">
        <v>50</v>
      </c>
    </row>
    <row r="31" spans="1:16" x14ac:dyDescent="0.35">
      <c r="D31" t="s">
        <v>68</v>
      </c>
      <c r="F31" t="s">
        <v>92</v>
      </c>
      <c r="G31" t="s">
        <v>92</v>
      </c>
      <c r="H31" t="s">
        <v>92</v>
      </c>
      <c r="K31" t="s">
        <v>93</v>
      </c>
      <c r="L31" t="s">
        <v>94</v>
      </c>
      <c r="M31" t="s">
        <v>95</v>
      </c>
      <c r="P31" t="s">
        <v>96</v>
      </c>
    </row>
    <row r="32" spans="1:16" x14ac:dyDescent="0.35">
      <c r="D32" t="s">
        <v>86</v>
      </c>
      <c r="E32" t="s">
        <v>87</v>
      </c>
      <c r="F32" t="s">
        <v>97</v>
      </c>
    </row>
    <row r="33" spans="2:18" x14ac:dyDescent="0.35">
      <c r="B33" t="s">
        <v>60</v>
      </c>
      <c r="C33" t="s">
        <v>98</v>
      </c>
    </row>
    <row r="34" spans="2:18" x14ac:dyDescent="0.35">
      <c r="D34" t="s">
        <v>45</v>
      </c>
      <c r="F34" t="s">
        <v>92</v>
      </c>
      <c r="I34">
        <v>99999</v>
      </c>
    </row>
    <row r="35" spans="2:18" x14ac:dyDescent="0.35">
      <c r="B35" t="s">
        <v>50</v>
      </c>
    </row>
    <row r="36" spans="2:18" x14ac:dyDescent="0.35">
      <c r="B36" t="s">
        <v>50</v>
      </c>
    </row>
    <row r="37" spans="2:18" x14ac:dyDescent="0.35">
      <c r="B37" t="s">
        <v>54</v>
      </c>
    </row>
    <row r="38" spans="2:18" x14ac:dyDescent="0.35">
      <c r="B38" t="s">
        <v>41</v>
      </c>
    </row>
    <row r="39" spans="2:18" x14ac:dyDescent="0.35">
      <c r="D39" t="s">
        <v>68</v>
      </c>
      <c r="F39" t="s">
        <v>99</v>
      </c>
      <c r="G39" t="s">
        <v>100</v>
      </c>
      <c r="H39" t="s">
        <v>101</v>
      </c>
      <c r="R39" t="b">
        <v>1</v>
      </c>
    </row>
    <row r="40" spans="2:18" x14ac:dyDescent="0.35">
      <c r="D40" t="s">
        <v>102</v>
      </c>
      <c r="E40" t="s">
        <v>103</v>
      </c>
      <c r="F40" t="s">
        <v>104</v>
      </c>
      <c r="G40" t="s">
        <v>105</v>
      </c>
      <c r="H40" t="s">
        <v>106</v>
      </c>
      <c r="R40" t="b">
        <v>1</v>
      </c>
    </row>
    <row r="41" spans="2:18" x14ac:dyDescent="0.35">
      <c r="D41" t="s">
        <v>68</v>
      </c>
      <c r="F41" t="s">
        <v>107</v>
      </c>
      <c r="G41" t="s">
        <v>108</v>
      </c>
      <c r="H41" t="s">
        <v>109</v>
      </c>
    </row>
    <row r="42" spans="2:18" x14ac:dyDescent="0.35">
      <c r="B42" t="s">
        <v>54</v>
      </c>
    </row>
    <row r="43" spans="2:18" x14ac:dyDescent="0.35">
      <c r="B43" t="s">
        <v>41</v>
      </c>
    </row>
    <row r="44" spans="2:18" x14ac:dyDescent="0.35">
      <c r="D44" t="s">
        <v>110</v>
      </c>
      <c r="E44" t="s">
        <v>111</v>
      </c>
      <c r="F44" t="s">
        <v>112</v>
      </c>
      <c r="G44" t="s">
        <v>113</v>
      </c>
      <c r="H44" t="s">
        <v>114</v>
      </c>
    </row>
    <row r="45" spans="2:18" x14ac:dyDescent="0.35">
      <c r="B45" t="s">
        <v>60</v>
      </c>
      <c r="C45" t="s">
        <v>115</v>
      </c>
    </row>
    <row r="46" spans="2:18" x14ac:dyDescent="0.35">
      <c r="D46" t="s">
        <v>68</v>
      </c>
      <c r="F46" t="s">
        <v>116</v>
      </c>
      <c r="G46" t="s">
        <v>117</v>
      </c>
      <c r="H46" t="s">
        <v>118</v>
      </c>
    </row>
    <row r="47" spans="2:18" x14ac:dyDescent="0.35">
      <c r="B47" t="s">
        <v>50</v>
      </c>
    </row>
    <row r="48" spans="2:18" x14ac:dyDescent="0.35">
      <c r="B48" t="s">
        <v>54</v>
      </c>
    </row>
    <row r="49" spans="2:13" x14ac:dyDescent="0.35">
      <c r="B49" t="s">
        <v>41</v>
      </c>
    </row>
    <row r="50" spans="2:13" x14ac:dyDescent="0.35">
      <c r="D50" t="s">
        <v>82</v>
      </c>
      <c r="F50" t="s">
        <v>507</v>
      </c>
      <c r="G50" t="s">
        <v>510</v>
      </c>
      <c r="H50" t="s">
        <v>508</v>
      </c>
    </row>
    <row r="51" spans="2:13" x14ac:dyDescent="0.35">
      <c r="D51" t="s">
        <v>82</v>
      </c>
      <c r="F51" t="s">
        <v>119</v>
      </c>
      <c r="G51" t="s">
        <v>511</v>
      </c>
      <c r="H51" t="s">
        <v>509</v>
      </c>
    </row>
    <row r="52" spans="2:13" x14ac:dyDescent="0.35">
      <c r="D52" t="s">
        <v>86</v>
      </c>
      <c r="E52" t="s">
        <v>87</v>
      </c>
      <c r="F52" t="s">
        <v>120</v>
      </c>
    </row>
    <row r="53" spans="2:13" x14ac:dyDescent="0.35">
      <c r="B53" t="s">
        <v>60</v>
      </c>
      <c r="C53" t="s">
        <v>121</v>
      </c>
    </row>
    <row r="54" spans="2:13" x14ac:dyDescent="0.35">
      <c r="D54" t="s">
        <v>45</v>
      </c>
      <c r="F54" t="s">
        <v>119</v>
      </c>
      <c r="I54">
        <v>999</v>
      </c>
    </row>
    <row r="55" spans="2:13" x14ac:dyDescent="0.35">
      <c r="B55" t="s">
        <v>50</v>
      </c>
    </row>
    <row r="56" spans="2:13" x14ac:dyDescent="0.35">
      <c r="B56" t="s">
        <v>60</v>
      </c>
      <c r="C56" t="s">
        <v>122</v>
      </c>
    </row>
    <row r="57" spans="2:13" ht="16.5" customHeight="1" x14ac:dyDescent="0.35">
      <c r="D57" t="s">
        <v>82</v>
      </c>
      <c r="F57" t="s">
        <v>123</v>
      </c>
      <c r="G57" t="s">
        <v>124</v>
      </c>
      <c r="H57" t="s">
        <v>125</v>
      </c>
      <c r="K57" s="4" t="s">
        <v>126</v>
      </c>
      <c r="L57" t="s">
        <v>127</v>
      </c>
      <c r="M57" t="s">
        <v>128</v>
      </c>
    </row>
    <row r="58" spans="2:13" ht="16.5" customHeight="1" x14ac:dyDescent="0.35">
      <c r="D58" t="s">
        <v>86</v>
      </c>
      <c r="E58" t="s">
        <v>129</v>
      </c>
      <c r="F58" t="s">
        <v>130</v>
      </c>
    </row>
    <row r="59" spans="2:13" ht="16.5" customHeight="1" x14ac:dyDescent="0.35">
      <c r="B59" t="s">
        <v>60</v>
      </c>
      <c r="C59" t="s">
        <v>131</v>
      </c>
    </row>
    <row r="60" spans="2:13" ht="16.5" customHeight="1" x14ac:dyDescent="0.35">
      <c r="D60" t="s">
        <v>45</v>
      </c>
      <c r="F60" t="s">
        <v>123</v>
      </c>
      <c r="I60">
        <v>9999999</v>
      </c>
    </row>
    <row r="61" spans="2:13" ht="16.5" customHeight="1" x14ac:dyDescent="0.35">
      <c r="B61" t="s">
        <v>50</v>
      </c>
    </row>
    <row r="62" spans="2:13" ht="16.5" customHeight="1" x14ac:dyDescent="0.35">
      <c r="B62" t="s">
        <v>72</v>
      </c>
    </row>
    <row r="63" spans="2:13" x14ac:dyDescent="0.35">
      <c r="D63" t="s">
        <v>82</v>
      </c>
      <c r="F63" t="s">
        <v>132</v>
      </c>
      <c r="G63" t="s">
        <v>133</v>
      </c>
      <c r="H63" t="s">
        <v>134</v>
      </c>
      <c r="K63" t="s">
        <v>135</v>
      </c>
      <c r="L63" t="s">
        <v>136</v>
      </c>
      <c r="M63" t="s">
        <v>137</v>
      </c>
    </row>
    <row r="64" spans="2:13" x14ac:dyDescent="0.35">
      <c r="D64" t="s">
        <v>86</v>
      </c>
      <c r="E64" t="s">
        <v>138</v>
      </c>
      <c r="F64" t="s">
        <v>139</v>
      </c>
    </row>
    <row r="65" spans="2:18" x14ac:dyDescent="0.35">
      <c r="B65" t="s">
        <v>60</v>
      </c>
      <c r="C65" t="s">
        <v>140</v>
      </c>
    </row>
    <row r="66" spans="2:18" x14ac:dyDescent="0.35">
      <c r="D66" t="s">
        <v>45</v>
      </c>
      <c r="F66" t="s">
        <v>132</v>
      </c>
      <c r="I66">
        <v>999999999</v>
      </c>
    </row>
    <row r="67" spans="2:18" x14ac:dyDescent="0.35">
      <c r="B67" t="s">
        <v>50</v>
      </c>
    </row>
    <row r="68" spans="2:18" x14ac:dyDescent="0.35">
      <c r="B68" t="s">
        <v>50</v>
      </c>
    </row>
    <row r="69" spans="2:18" x14ac:dyDescent="0.35">
      <c r="B69" t="s">
        <v>54</v>
      </c>
    </row>
    <row r="70" spans="2:18" x14ac:dyDescent="0.35">
      <c r="B70" t="s">
        <v>41</v>
      </c>
    </row>
    <row r="71" spans="2:18" x14ac:dyDescent="0.35">
      <c r="D71" t="s">
        <v>51</v>
      </c>
      <c r="F71" t="s">
        <v>141</v>
      </c>
      <c r="G71" t="s">
        <v>142</v>
      </c>
      <c r="H71" t="s">
        <v>143</v>
      </c>
      <c r="K71" t="s">
        <v>144</v>
      </c>
      <c r="L71" t="s">
        <v>145</v>
      </c>
      <c r="M71" t="s">
        <v>146</v>
      </c>
      <c r="R71" t="b">
        <v>1</v>
      </c>
    </row>
    <row r="72" spans="2:18" x14ac:dyDescent="0.35">
      <c r="D72" t="s">
        <v>86</v>
      </c>
      <c r="E72" t="s">
        <v>147</v>
      </c>
      <c r="F72" t="s">
        <v>148</v>
      </c>
    </row>
    <row r="73" spans="2:18" x14ac:dyDescent="0.35">
      <c r="B73" t="s">
        <v>60</v>
      </c>
      <c r="C73" t="s">
        <v>149</v>
      </c>
    </row>
    <row r="74" spans="2:18" x14ac:dyDescent="0.35">
      <c r="D74" t="s">
        <v>45</v>
      </c>
      <c r="F74" t="s">
        <v>141</v>
      </c>
      <c r="I74" s="6" t="s">
        <v>150</v>
      </c>
    </row>
    <row r="75" spans="2:18" x14ac:dyDescent="0.35">
      <c r="B75" t="s">
        <v>50</v>
      </c>
    </row>
    <row r="76" spans="2:18" x14ac:dyDescent="0.35">
      <c r="B76" t="s">
        <v>60</v>
      </c>
      <c r="C76" t="s">
        <v>151</v>
      </c>
    </row>
    <row r="77" spans="2:18" x14ac:dyDescent="0.35">
      <c r="D77" t="s">
        <v>82</v>
      </c>
      <c r="F77" t="s">
        <v>152</v>
      </c>
      <c r="G77" t="s">
        <v>153</v>
      </c>
      <c r="H77" t="s">
        <v>154</v>
      </c>
    </row>
    <row r="78" spans="2:18" x14ac:dyDescent="0.35">
      <c r="D78" t="s">
        <v>82</v>
      </c>
      <c r="F78" t="s">
        <v>155</v>
      </c>
      <c r="G78" t="s">
        <v>156</v>
      </c>
      <c r="H78" t="s">
        <v>157</v>
      </c>
    </row>
    <row r="79" spans="2:18" x14ac:dyDescent="0.35">
      <c r="B79" t="s">
        <v>50</v>
      </c>
    </row>
    <row r="80" spans="2:18" x14ac:dyDescent="0.35">
      <c r="D80" t="s">
        <v>158</v>
      </c>
      <c r="G80" t="s">
        <v>159</v>
      </c>
      <c r="H80" t="s">
        <v>160</v>
      </c>
    </row>
    <row r="81" spans="2:18" x14ac:dyDescent="0.35">
      <c r="B81" t="s">
        <v>54</v>
      </c>
    </row>
    <row r="82" spans="2:18" x14ac:dyDescent="0.35">
      <c r="B82" t="s">
        <v>41</v>
      </c>
    </row>
    <row r="83" spans="2:18" x14ac:dyDescent="0.35">
      <c r="D83" t="s">
        <v>102</v>
      </c>
      <c r="E83" t="s">
        <v>161</v>
      </c>
      <c r="F83" t="s">
        <v>162</v>
      </c>
      <c r="G83" t="s">
        <v>163</v>
      </c>
      <c r="H83" t="s">
        <v>164</v>
      </c>
      <c r="R83" t="b">
        <v>1</v>
      </c>
    </row>
    <row r="84" spans="2:18" x14ac:dyDescent="0.35">
      <c r="B84" t="s">
        <v>60</v>
      </c>
      <c r="C84" t="s">
        <v>165</v>
      </c>
    </row>
    <row r="85" spans="2:18" x14ac:dyDescent="0.35">
      <c r="D85" t="s">
        <v>102</v>
      </c>
      <c r="E85" t="s">
        <v>166</v>
      </c>
      <c r="F85" t="s">
        <v>167</v>
      </c>
      <c r="G85" t="s">
        <v>168</v>
      </c>
      <c r="H85" t="s">
        <v>169</v>
      </c>
    </row>
    <row r="86" spans="2:18" x14ac:dyDescent="0.35">
      <c r="B86" t="s">
        <v>60</v>
      </c>
      <c r="C86" t="s">
        <v>170</v>
      </c>
    </row>
    <row r="87" spans="2:18" x14ac:dyDescent="0.35">
      <c r="D87" t="s">
        <v>102</v>
      </c>
      <c r="E87" t="s">
        <v>171</v>
      </c>
      <c r="F87" t="s">
        <v>172</v>
      </c>
      <c r="G87" t="s">
        <v>173</v>
      </c>
      <c r="H87" t="s">
        <v>174</v>
      </c>
      <c r="K87" t="s">
        <v>175</v>
      </c>
      <c r="L87" t="s">
        <v>176</v>
      </c>
      <c r="M87" t="s">
        <v>177</v>
      </c>
    </row>
    <row r="88" spans="2:18" x14ac:dyDescent="0.35">
      <c r="B88" t="s">
        <v>50</v>
      </c>
    </row>
    <row r="89" spans="2:18" x14ac:dyDescent="0.35">
      <c r="B89" t="s">
        <v>50</v>
      </c>
    </row>
    <row r="90" spans="2:18" x14ac:dyDescent="0.35">
      <c r="B90" t="s">
        <v>54</v>
      </c>
    </row>
    <row r="91" spans="2:18" x14ac:dyDescent="0.35">
      <c r="B91" t="s">
        <v>60</v>
      </c>
      <c r="C91" t="s">
        <v>165</v>
      </c>
    </row>
    <row r="92" spans="2:18" x14ac:dyDescent="0.35">
      <c r="B92" t="s">
        <v>41</v>
      </c>
    </row>
    <row r="93" spans="2:18" x14ac:dyDescent="0.35">
      <c r="D93" t="s">
        <v>82</v>
      </c>
      <c r="F93" t="s">
        <v>178</v>
      </c>
      <c r="G93" t="s">
        <v>179</v>
      </c>
      <c r="H93" t="s">
        <v>180</v>
      </c>
      <c r="K93" t="s">
        <v>181</v>
      </c>
      <c r="L93" t="s">
        <v>182</v>
      </c>
      <c r="M93" t="s">
        <v>183</v>
      </c>
    </row>
    <row r="94" spans="2:18" x14ac:dyDescent="0.35">
      <c r="D94" t="s">
        <v>110</v>
      </c>
      <c r="E94" t="s">
        <v>184</v>
      </c>
      <c r="F94" t="s">
        <v>185</v>
      </c>
    </row>
    <row r="95" spans="2:18" x14ac:dyDescent="0.35">
      <c r="D95" t="s">
        <v>82</v>
      </c>
      <c r="F95" t="s">
        <v>186</v>
      </c>
      <c r="G95" t="s">
        <v>187</v>
      </c>
      <c r="H95" t="s">
        <v>188</v>
      </c>
      <c r="K95" t="s">
        <v>189</v>
      </c>
      <c r="L95" t="s">
        <v>182</v>
      </c>
      <c r="M95" t="s">
        <v>183</v>
      </c>
    </row>
    <row r="96" spans="2:18" x14ac:dyDescent="0.35">
      <c r="D96" t="s">
        <v>110</v>
      </c>
      <c r="E96" t="s">
        <v>190</v>
      </c>
      <c r="F96" t="s">
        <v>191</v>
      </c>
    </row>
    <row r="97" spans="2:13" x14ac:dyDescent="0.35">
      <c r="D97" t="s">
        <v>82</v>
      </c>
      <c r="F97" t="s">
        <v>192</v>
      </c>
      <c r="G97" t="s">
        <v>193</v>
      </c>
      <c r="H97" t="s">
        <v>194</v>
      </c>
      <c r="K97" t="s">
        <v>195</v>
      </c>
      <c r="L97" t="s">
        <v>182</v>
      </c>
      <c r="M97" t="s">
        <v>183</v>
      </c>
    </row>
    <row r="98" spans="2:13" x14ac:dyDescent="0.35">
      <c r="D98" t="s">
        <v>110</v>
      </c>
      <c r="E98" t="s">
        <v>190</v>
      </c>
      <c r="F98" t="s">
        <v>196</v>
      </c>
    </row>
    <row r="99" spans="2:13" x14ac:dyDescent="0.35">
      <c r="B99" t="s">
        <v>60</v>
      </c>
      <c r="C99" t="s">
        <v>197</v>
      </c>
    </row>
    <row r="100" spans="2:13" x14ac:dyDescent="0.35">
      <c r="D100" t="s">
        <v>45</v>
      </c>
      <c r="F100" t="s">
        <v>186</v>
      </c>
      <c r="I100">
        <v>999999999</v>
      </c>
    </row>
    <row r="101" spans="2:13" x14ac:dyDescent="0.35">
      <c r="B101" t="s">
        <v>50</v>
      </c>
    </row>
    <row r="102" spans="2:13" x14ac:dyDescent="0.35">
      <c r="B102" t="s">
        <v>60</v>
      </c>
      <c r="C102" t="s">
        <v>198</v>
      </c>
    </row>
    <row r="103" spans="2:13" x14ac:dyDescent="0.35">
      <c r="D103" t="s">
        <v>45</v>
      </c>
      <c r="F103" t="s">
        <v>192</v>
      </c>
      <c r="I103">
        <v>999999999</v>
      </c>
    </row>
    <row r="104" spans="2:13" x14ac:dyDescent="0.35">
      <c r="B104" t="s">
        <v>50</v>
      </c>
    </row>
    <row r="105" spans="2:13" x14ac:dyDescent="0.35">
      <c r="B105" t="s">
        <v>54</v>
      </c>
    </row>
    <row r="107" spans="2:13" x14ac:dyDescent="0.35">
      <c r="B107" t="s">
        <v>41</v>
      </c>
    </row>
    <row r="108" spans="2:13" x14ac:dyDescent="0.35">
      <c r="D108" t="s">
        <v>102</v>
      </c>
      <c r="E108" t="s">
        <v>161</v>
      </c>
      <c r="F108" t="s">
        <v>199</v>
      </c>
      <c r="G108" t="s">
        <v>200</v>
      </c>
      <c r="H108" t="s">
        <v>201</v>
      </c>
      <c r="K108" t="s">
        <v>202</v>
      </c>
      <c r="L108" t="s">
        <v>203</v>
      </c>
      <c r="M108" t="s">
        <v>204</v>
      </c>
    </row>
    <row r="109" spans="2:13" x14ac:dyDescent="0.35">
      <c r="B109" t="s">
        <v>60</v>
      </c>
      <c r="C109" t="s">
        <v>205</v>
      </c>
    </row>
    <row r="110" spans="2:13" x14ac:dyDescent="0.35">
      <c r="D110" t="s">
        <v>102</v>
      </c>
      <c r="E110" t="s">
        <v>161</v>
      </c>
      <c r="F110" t="s">
        <v>206</v>
      </c>
      <c r="G110" t="s">
        <v>207</v>
      </c>
      <c r="H110" t="s">
        <v>208</v>
      </c>
      <c r="K110" t="s">
        <v>209</v>
      </c>
      <c r="L110" t="s">
        <v>203</v>
      </c>
      <c r="M110" t="s">
        <v>204</v>
      </c>
    </row>
    <row r="111" spans="2:13" x14ac:dyDescent="0.35">
      <c r="B111" t="s">
        <v>50</v>
      </c>
    </row>
    <row r="112" spans="2:13" x14ac:dyDescent="0.35">
      <c r="B112" t="s">
        <v>60</v>
      </c>
      <c r="C112" t="s">
        <v>210</v>
      </c>
    </row>
    <row r="113" spans="2:13" x14ac:dyDescent="0.35">
      <c r="D113" t="s">
        <v>102</v>
      </c>
      <c r="E113" t="s">
        <v>161</v>
      </c>
      <c r="F113" t="s">
        <v>211</v>
      </c>
      <c r="G113" t="s">
        <v>212</v>
      </c>
      <c r="H113" t="s">
        <v>213</v>
      </c>
      <c r="K113" t="s">
        <v>214</v>
      </c>
      <c r="L113" t="s">
        <v>203</v>
      </c>
      <c r="M113" t="s">
        <v>204</v>
      </c>
    </row>
    <row r="114" spans="2:13" x14ac:dyDescent="0.35">
      <c r="B114" t="s">
        <v>50</v>
      </c>
    </row>
    <row r="115" spans="2:13" x14ac:dyDescent="0.35">
      <c r="B115" s="7" t="s">
        <v>42</v>
      </c>
      <c r="C115" s="4" t="s">
        <v>215</v>
      </c>
    </row>
    <row r="116" spans="2:13" x14ac:dyDescent="0.35">
      <c r="B116" t="s">
        <v>60</v>
      </c>
      <c r="C116" t="s">
        <v>205</v>
      </c>
    </row>
    <row r="117" spans="2:13" x14ac:dyDescent="0.35">
      <c r="D117" t="s">
        <v>102</v>
      </c>
      <c r="E117" t="s">
        <v>161</v>
      </c>
      <c r="F117" t="s">
        <v>216</v>
      </c>
      <c r="G117" t="s">
        <v>217</v>
      </c>
      <c r="H117" t="s">
        <v>218</v>
      </c>
      <c r="K117" s="15" t="s">
        <v>506</v>
      </c>
      <c r="L117" t="s">
        <v>203</v>
      </c>
      <c r="M117" t="s">
        <v>204</v>
      </c>
    </row>
    <row r="118" spans="2:13" x14ac:dyDescent="0.35">
      <c r="B118" t="s">
        <v>50</v>
      </c>
    </row>
    <row r="120" spans="2:13" x14ac:dyDescent="0.35">
      <c r="B120" t="s">
        <v>60</v>
      </c>
      <c r="C120" t="s">
        <v>210</v>
      </c>
    </row>
    <row r="121" spans="2:13" x14ac:dyDescent="0.35">
      <c r="D121" t="s">
        <v>102</v>
      </c>
      <c r="E121" t="s">
        <v>161</v>
      </c>
      <c r="F121" t="s">
        <v>219</v>
      </c>
      <c r="G121" t="s">
        <v>220</v>
      </c>
      <c r="H121" t="s">
        <v>221</v>
      </c>
      <c r="K121" t="s">
        <v>214</v>
      </c>
      <c r="L121" t="s">
        <v>203</v>
      </c>
      <c r="M121" t="s">
        <v>204</v>
      </c>
    </row>
    <row r="122" spans="2:13" x14ac:dyDescent="0.35">
      <c r="B122" t="s">
        <v>50</v>
      </c>
    </row>
    <row r="123" spans="2:13" x14ac:dyDescent="0.35">
      <c r="B123" s="7" t="s">
        <v>50</v>
      </c>
    </row>
    <row r="124" spans="2:13" x14ac:dyDescent="0.35">
      <c r="B124" s="7"/>
    </row>
    <row r="125" spans="2:13" x14ac:dyDescent="0.35">
      <c r="B125" t="s">
        <v>54</v>
      </c>
    </row>
    <row r="126" spans="2:13" x14ac:dyDescent="0.35">
      <c r="B126" t="s">
        <v>60</v>
      </c>
      <c r="C126" t="s">
        <v>205</v>
      </c>
    </row>
    <row r="127" spans="2:13" x14ac:dyDescent="0.35">
      <c r="D127" t="s">
        <v>222</v>
      </c>
      <c r="F127" t="s">
        <v>223</v>
      </c>
      <c r="G127" t="s">
        <v>224</v>
      </c>
      <c r="H127" t="s">
        <v>225</v>
      </c>
    </row>
    <row r="128" spans="2:13" x14ac:dyDescent="0.35">
      <c r="B128" t="s">
        <v>50</v>
      </c>
    </row>
    <row r="129" spans="2:16" x14ac:dyDescent="0.35">
      <c r="B129" t="s">
        <v>41</v>
      </c>
    </row>
    <row r="130" spans="2:16" x14ac:dyDescent="0.35">
      <c r="D130" t="s">
        <v>68</v>
      </c>
      <c r="F130" t="s">
        <v>226</v>
      </c>
      <c r="G130" t="s">
        <v>227</v>
      </c>
      <c r="H130" t="s">
        <v>228</v>
      </c>
      <c r="K130" t="s">
        <v>229</v>
      </c>
      <c r="L130" t="s">
        <v>230</v>
      </c>
      <c r="M130" t="s">
        <v>231</v>
      </c>
      <c r="N130" t="s">
        <v>232</v>
      </c>
      <c r="O130" t="s">
        <v>233</v>
      </c>
      <c r="P130" t="s">
        <v>96</v>
      </c>
    </row>
    <row r="131" spans="2:16" x14ac:dyDescent="0.35">
      <c r="D131" t="s">
        <v>82</v>
      </c>
      <c r="F131" t="s">
        <v>234</v>
      </c>
      <c r="G131" t="s">
        <v>235</v>
      </c>
      <c r="H131" t="s">
        <v>236</v>
      </c>
      <c r="K131" t="s">
        <v>237</v>
      </c>
      <c r="L131" t="s">
        <v>238</v>
      </c>
      <c r="M131" t="s">
        <v>239</v>
      </c>
    </row>
    <row r="132" spans="2:16" x14ac:dyDescent="0.35">
      <c r="B132" t="s">
        <v>54</v>
      </c>
    </row>
    <row r="133" spans="2:16" x14ac:dyDescent="0.35">
      <c r="B133" t="s">
        <v>41</v>
      </c>
    </row>
    <row r="134" spans="2:16" x14ac:dyDescent="0.35">
      <c r="D134" t="s">
        <v>102</v>
      </c>
      <c r="E134" t="s">
        <v>249</v>
      </c>
      <c r="F134" t="s">
        <v>512</v>
      </c>
      <c r="G134" t="s">
        <v>525</v>
      </c>
      <c r="H134" t="s">
        <v>526</v>
      </c>
      <c r="K134" t="s">
        <v>541</v>
      </c>
    </row>
    <row r="135" spans="2:16" x14ac:dyDescent="0.35">
      <c r="B135" t="s">
        <v>60</v>
      </c>
      <c r="C135" t="s">
        <v>517</v>
      </c>
      <c r="I135" s="16"/>
    </row>
    <row r="136" spans="2:16" x14ac:dyDescent="0.35">
      <c r="D136" s="17" t="s">
        <v>82</v>
      </c>
      <c r="F136" t="s">
        <v>518</v>
      </c>
      <c r="G136" t="s">
        <v>513</v>
      </c>
      <c r="H136" t="s">
        <v>514</v>
      </c>
      <c r="K136" t="s">
        <v>546</v>
      </c>
    </row>
    <row r="137" spans="2:16" x14ac:dyDescent="0.35">
      <c r="D137" s="17" t="s">
        <v>82</v>
      </c>
      <c r="F137" t="s">
        <v>519</v>
      </c>
      <c r="G137" t="s">
        <v>515</v>
      </c>
      <c r="H137" t="s">
        <v>516</v>
      </c>
      <c r="K137" t="s">
        <v>545</v>
      </c>
    </row>
    <row r="138" spans="2:16" x14ac:dyDescent="0.35">
      <c r="D138" t="s">
        <v>86</v>
      </c>
      <c r="E138" t="s">
        <v>520</v>
      </c>
      <c r="F138" t="s">
        <v>521</v>
      </c>
      <c r="I138" s="16"/>
    </row>
    <row r="139" spans="2:16" x14ac:dyDescent="0.35">
      <c r="B139" t="s">
        <v>60</v>
      </c>
      <c r="C139" t="s">
        <v>522</v>
      </c>
      <c r="I139" s="16"/>
    </row>
    <row r="140" spans="2:16" x14ac:dyDescent="0.35">
      <c r="D140" t="s">
        <v>45</v>
      </c>
      <c r="F140" t="s">
        <v>518</v>
      </c>
      <c r="I140" s="16">
        <v>88</v>
      </c>
    </row>
    <row r="141" spans="2:16" x14ac:dyDescent="0.35">
      <c r="D141" t="s">
        <v>45</v>
      </c>
      <c r="F141" t="s">
        <v>519</v>
      </c>
      <c r="I141" s="16">
        <v>88</v>
      </c>
    </row>
    <row r="142" spans="2:16" x14ac:dyDescent="0.35">
      <c r="B142" t="s">
        <v>50</v>
      </c>
      <c r="I142" s="16"/>
    </row>
    <row r="143" spans="2:16" x14ac:dyDescent="0.35">
      <c r="B143" t="s">
        <v>50</v>
      </c>
      <c r="I143" s="16"/>
    </row>
    <row r="144" spans="2:16" x14ac:dyDescent="0.35">
      <c r="B144" t="s">
        <v>54</v>
      </c>
    </row>
    <row r="145" spans="2:13" x14ac:dyDescent="0.35">
      <c r="B145" t="s">
        <v>41</v>
      </c>
    </row>
    <row r="146" spans="2:13" x14ac:dyDescent="0.35">
      <c r="D146" t="s">
        <v>102</v>
      </c>
      <c r="E146" t="s">
        <v>530</v>
      </c>
      <c r="F146" t="s">
        <v>527</v>
      </c>
      <c r="G146" t="s">
        <v>523</v>
      </c>
      <c r="H146" t="s">
        <v>524</v>
      </c>
      <c r="K146" t="s">
        <v>542</v>
      </c>
    </row>
    <row r="147" spans="2:13" x14ac:dyDescent="0.35">
      <c r="B147" t="s">
        <v>60</v>
      </c>
      <c r="C147" t="s">
        <v>538</v>
      </c>
      <c r="I147" s="16"/>
    </row>
    <row r="148" spans="2:13" x14ac:dyDescent="0.35">
      <c r="D148" s="17" t="s">
        <v>82</v>
      </c>
      <c r="F148" t="s">
        <v>528</v>
      </c>
      <c r="G148" t="s">
        <v>513</v>
      </c>
      <c r="H148" t="s">
        <v>514</v>
      </c>
      <c r="K148" t="s">
        <v>547</v>
      </c>
    </row>
    <row r="149" spans="2:13" x14ac:dyDescent="0.35">
      <c r="D149" s="17" t="s">
        <v>82</v>
      </c>
      <c r="F149" t="s">
        <v>529</v>
      </c>
      <c r="G149" t="s">
        <v>515</v>
      </c>
      <c r="H149" t="s">
        <v>516</v>
      </c>
      <c r="K149" t="s">
        <v>548</v>
      </c>
    </row>
    <row r="150" spans="2:13" x14ac:dyDescent="0.35">
      <c r="B150" t="s">
        <v>60</v>
      </c>
      <c r="C150" t="s">
        <v>539</v>
      </c>
      <c r="I150" s="16"/>
    </row>
    <row r="151" spans="2:13" x14ac:dyDescent="0.35">
      <c r="D151" t="s">
        <v>45</v>
      </c>
      <c r="F151" t="s">
        <v>528</v>
      </c>
      <c r="I151" s="16">
        <v>99</v>
      </c>
    </row>
    <row r="152" spans="2:13" x14ac:dyDescent="0.35">
      <c r="D152" t="s">
        <v>45</v>
      </c>
      <c r="F152" t="s">
        <v>529</v>
      </c>
      <c r="I152" s="16">
        <v>99</v>
      </c>
    </row>
    <row r="153" spans="2:13" x14ac:dyDescent="0.35">
      <c r="B153" t="s">
        <v>50</v>
      </c>
      <c r="I153" s="16"/>
    </row>
    <row r="154" spans="2:13" x14ac:dyDescent="0.35">
      <c r="B154" t="s">
        <v>50</v>
      </c>
      <c r="I154" s="16"/>
    </row>
    <row r="155" spans="2:13" x14ac:dyDescent="0.35">
      <c r="B155" t="s">
        <v>54</v>
      </c>
    </row>
    <row r="156" spans="2:13" x14ac:dyDescent="0.35">
      <c r="B156" t="s">
        <v>41</v>
      </c>
    </row>
    <row r="157" spans="2:13" x14ac:dyDescent="0.35">
      <c r="D157" t="s">
        <v>102</v>
      </c>
      <c r="E157" t="s">
        <v>240</v>
      </c>
      <c r="F157" t="s">
        <v>241</v>
      </c>
      <c r="G157" t="s">
        <v>242</v>
      </c>
      <c r="H157" t="s">
        <v>243</v>
      </c>
    </row>
    <row r="158" spans="2:13" x14ac:dyDescent="0.35">
      <c r="B158" t="s">
        <v>60</v>
      </c>
      <c r="C158" t="s">
        <v>244</v>
      </c>
    </row>
    <row r="159" spans="2:13" x14ac:dyDescent="0.35">
      <c r="D159" t="s">
        <v>51</v>
      </c>
      <c r="F159" t="s">
        <v>245</v>
      </c>
      <c r="G159" t="s">
        <v>246</v>
      </c>
      <c r="H159" t="s">
        <v>247</v>
      </c>
      <c r="K159" t="s">
        <v>248</v>
      </c>
      <c r="L159" t="s">
        <v>145</v>
      </c>
      <c r="M159" t="s">
        <v>146</v>
      </c>
    </row>
    <row r="160" spans="2:13" x14ac:dyDescent="0.35">
      <c r="B160" t="s">
        <v>50</v>
      </c>
    </row>
    <row r="161" spans="2:9" x14ac:dyDescent="0.35">
      <c r="B161" t="s">
        <v>54</v>
      </c>
    </row>
    <row r="162" spans="2:9" x14ac:dyDescent="0.35">
      <c r="B162" t="s">
        <v>41</v>
      </c>
    </row>
    <row r="163" spans="2:9" x14ac:dyDescent="0.35">
      <c r="D163" t="s">
        <v>102</v>
      </c>
      <c r="E163" t="s">
        <v>249</v>
      </c>
      <c r="F163" t="s">
        <v>250</v>
      </c>
      <c r="G163" t="s">
        <v>251</v>
      </c>
      <c r="H163" t="s">
        <v>252</v>
      </c>
    </row>
    <row r="164" spans="2:9" x14ac:dyDescent="0.35">
      <c r="D164" t="s">
        <v>102</v>
      </c>
      <c r="E164" t="s">
        <v>249</v>
      </c>
      <c r="F164" t="s">
        <v>253</v>
      </c>
      <c r="G164" t="s">
        <v>254</v>
      </c>
      <c r="H164" t="s">
        <v>255</v>
      </c>
    </row>
    <row r="165" spans="2:9" x14ac:dyDescent="0.35">
      <c r="D165" t="s">
        <v>102</v>
      </c>
      <c r="E165" t="s">
        <v>249</v>
      </c>
      <c r="F165" t="s">
        <v>256</v>
      </c>
      <c r="G165" t="s">
        <v>257</v>
      </c>
      <c r="H165" t="s">
        <v>258</v>
      </c>
    </row>
    <row r="166" spans="2:9" x14ac:dyDescent="0.35">
      <c r="B166" s="8" t="s">
        <v>60</v>
      </c>
      <c r="C166" s="8" t="s">
        <v>259</v>
      </c>
      <c r="D166" s="8"/>
      <c r="E166" s="8"/>
      <c r="F166" s="8"/>
      <c r="G166" s="8"/>
      <c r="H166" s="8"/>
      <c r="I166" s="8"/>
    </row>
    <row r="167" spans="2:9" x14ac:dyDescent="0.35">
      <c r="B167" s="8"/>
      <c r="C167" s="8"/>
      <c r="D167" s="8" t="s">
        <v>45</v>
      </c>
      <c r="E167" s="8"/>
      <c r="F167" s="8" t="s">
        <v>260</v>
      </c>
      <c r="G167" s="8"/>
      <c r="H167" s="8"/>
      <c r="I167" s="8" t="s">
        <v>261</v>
      </c>
    </row>
    <row r="168" spans="2:9" x14ac:dyDescent="0.35">
      <c r="B168" s="8" t="s">
        <v>72</v>
      </c>
      <c r="C168" s="8"/>
      <c r="D168" s="8"/>
      <c r="E168" s="8"/>
      <c r="F168" s="8"/>
      <c r="G168" s="8"/>
      <c r="H168" s="8"/>
      <c r="I168" s="8"/>
    </row>
    <row r="169" spans="2:9" x14ac:dyDescent="0.35">
      <c r="B169" s="8"/>
      <c r="C169" s="8"/>
      <c r="D169" s="8" t="s">
        <v>45</v>
      </c>
      <c r="E169" s="8"/>
      <c r="F169" s="8" t="s">
        <v>260</v>
      </c>
      <c r="G169" s="8"/>
      <c r="H169" s="8"/>
      <c r="I169" s="8" t="s">
        <v>262</v>
      </c>
    </row>
    <row r="170" spans="2:9" x14ac:dyDescent="0.35">
      <c r="B170" s="8" t="s">
        <v>50</v>
      </c>
      <c r="C170" s="8"/>
      <c r="D170" s="8"/>
      <c r="E170" s="8"/>
      <c r="F170" s="8"/>
      <c r="G170" s="8"/>
      <c r="H170" s="8"/>
      <c r="I170" s="8"/>
    </row>
    <row r="171" spans="2:9" x14ac:dyDescent="0.35">
      <c r="B171" t="s">
        <v>54</v>
      </c>
    </row>
    <row r="172" spans="2:9" x14ac:dyDescent="0.35">
      <c r="B172" t="s">
        <v>41</v>
      </c>
    </row>
    <row r="173" spans="2:9" x14ac:dyDescent="0.35">
      <c r="D173" t="s">
        <v>102</v>
      </c>
      <c r="E173" t="s">
        <v>249</v>
      </c>
      <c r="F173" t="s">
        <v>263</v>
      </c>
      <c r="G173" t="s">
        <v>264</v>
      </c>
      <c r="H173" t="s">
        <v>265</v>
      </c>
    </row>
    <row r="174" spans="2:9" x14ac:dyDescent="0.35">
      <c r="D174" t="s">
        <v>102</v>
      </c>
      <c r="E174" t="s">
        <v>249</v>
      </c>
      <c r="F174" t="s">
        <v>266</v>
      </c>
      <c r="G174" t="s">
        <v>267</v>
      </c>
      <c r="H174" t="s">
        <v>268</v>
      </c>
    </row>
    <row r="175" spans="2:9" x14ac:dyDescent="0.35">
      <c r="D175" t="s">
        <v>102</v>
      </c>
      <c r="E175" t="s">
        <v>249</v>
      </c>
      <c r="F175" t="s">
        <v>269</v>
      </c>
      <c r="G175" t="s">
        <v>270</v>
      </c>
      <c r="H175" t="s">
        <v>271</v>
      </c>
    </row>
    <row r="176" spans="2:9" x14ac:dyDescent="0.35">
      <c r="B176" t="s">
        <v>54</v>
      </c>
    </row>
    <row r="177" spans="2:8" x14ac:dyDescent="0.35">
      <c r="B177" t="s">
        <v>41</v>
      </c>
    </row>
    <row r="178" spans="2:8" x14ac:dyDescent="0.35">
      <c r="D178" t="s">
        <v>102</v>
      </c>
      <c r="E178" t="s">
        <v>249</v>
      </c>
      <c r="F178" t="s">
        <v>272</v>
      </c>
      <c r="G178" t="s">
        <v>273</v>
      </c>
      <c r="H178" t="s">
        <v>274</v>
      </c>
    </row>
    <row r="179" spans="2:8" x14ac:dyDescent="0.35">
      <c r="D179" t="s">
        <v>68</v>
      </c>
      <c r="F179" t="s">
        <v>275</v>
      </c>
      <c r="G179" t="s">
        <v>276</v>
      </c>
      <c r="H179" t="s">
        <v>277</v>
      </c>
    </row>
    <row r="180" spans="2:8" x14ac:dyDescent="0.35">
      <c r="B180" t="s">
        <v>54</v>
      </c>
    </row>
    <row r="181" spans="2:8" s="9" customFormat="1" x14ac:dyDescent="0.35">
      <c r="B181" s="9" t="s">
        <v>41</v>
      </c>
    </row>
    <row r="182" spans="2:8" s="9" customFormat="1" x14ac:dyDescent="0.35">
      <c r="D182" s="9" t="s">
        <v>102</v>
      </c>
      <c r="E182" s="9" t="s">
        <v>249</v>
      </c>
      <c r="F182" s="9" t="s">
        <v>278</v>
      </c>
      <c r="G182" s="9" t="s">
        <v>279</v>
      </c>
      <c r="H182" s="9" t="s">
        <v>280</v>
      </c>
    </row>
    <row r="183" spans="2:8" s="9" customFormat="1" x14ac:dyDescent="0.35">
      <c r="B183" s="9" t="s">
        <v>60</v>
      </c>
      <c r="C183" s="9" t="s">
        <v>281</v>
      </c>
    </row>
    <row r="184" spans="2:8" s="9" customFormat="1" x14ac:dyDescent="0.35">
      <c r="D184" s="9" t="s">
        <v>86</v>
      </c>
      <c r="E184" s="9" t="s">
        <v>282</v>
      </c>
      <c r="F184" s="9" t="s">
        <v>283</v>
      </c>
      <c r="G184" s="9" t="s">
        <v>284</v>
      </c>
      <c r="H184" s="9" t="s">
        <v>285</v>
      </c>
    </row>
    <row r="185" spans="2:8" s="9" customFormat="1" x14ac:dyDescent="0.35">
      <c r="B185" s="9" t="s">
        <v>60</v>
      </c>
      <c r="C185" s="9" t="s">
        <v>286</v>
      </c>
    </row>
    <row r="186" spans="2:8" s="9" customFormat="1" x14ac:dyDescent="0.35">
      <c r="D186" s="9" t="s">
        <v>68</v>
      </c>
      <c r="F186" s="9" t="s">
        <v>287</v>
      </c>
      <c r="G186" s="9" t="s">
        <v>288</v>
      </c>
      <c r="H186" s="9" t="s">
        <v>289</v>
      </c>
    </row>
    <row r="187" spans="2:8" s="9" customFormat="1" x14ac:dyDescent="0.35">
      <c r="B187" s="9" t="s">
        <v>50</v>
      </c>
    </row>
    <row r="188" spans="2:8" s="9" customFormat="1" x14ac:dyDescent="0.35">
      <c r="B188" s="9" t="s">
        <v>50</v>
      </c>
    </row>
    <row r="189" spans="2:8" s="9" customFormat="1" x14ac:dyDescent="0.35">
      <c r="B189" s="9" t="s">
        <v>54</v>
      </c>
    </row>
    <row r="190" spans="2:8" s="9" customFormat="1" x14ac:dyDescent="0.35">
      <c r="B190" s="9" t="s">
        <v>41</v>
      </c>
    </row>
    <row r="191" spans="2:8" s="4" customFormat="1" x14ac:dyDescent="0.35">
      <c r="D191" s="4" t="s">
        <v>102</v>
      </c>
      <c r="E191" s="4" t="s">
        <v>249</v>
      </c>
      <c r="F191" s="4" t="s">
        <v>290</v>
      </c>
      <c r="G191" s="4" t="s">
        <v>291</v>
      </c>
      <c r="H191" s="4" t="s">
        <v>292</v>
      </c>
    </row>
    <row r="192" spans="2:8" s="4" customFormat="1" x14ac:dyDescent="0.35">
      <c r="B192" s="4" t="s">
        <v>60</v>
      </c>
      <c r="C192" s="4" t="s">
        <v>293</v>
      </c>
    </row>
    <row r="193" spans="2:13" s="4" customFormat="1" x14ac:dyDescent="0.35">
      <c r="D193" s="4" t="s">
        <v>86</v>
      </c>
      <c r="E193" s="4" t="s">
        <v>282</v>
      </c>
      <c r="F193" s="4" t="s">
        <v>294</v>
      </c>
      <c r="G193" s="4" t="s">
        <v>295</v>
      </c>
      <c r="H193" s="4" t="s">
        <v>296</v>
      </c>
    </row>
    <row r="194" spans="2:13" s="4" customFormat="1" x14ac:dyDescent="0.35">
      <c r="B194" s="4" t="s">
        <v>60</v>
      </c>
      <c r="C194" s="4" t="s">
        <v>297</v>
      </c>
    </row>
    <row r="195" spans="2:13" s="4" customFormat="1" x14ac:dyDescent="0.35">
      <c r="D195" s="4" t="s">
        <v>68</v>
      </c>
      <c r="F195" s="4" t="s">
        <v>298</v>
      </c>
      <c r="G195" s="4" t="s">
        <v>288</v>
      </c>
      <c r="H195" s="4" t="s">
        <v>289</v>
      </c>
    </row>
    <row r="196" spans="2:13" s="4" customFormat="1" x14ac:dyDescent="0.35">
      <c r="B196" s="4" t="s">
        <v>50</v>
      </c>
    </row>
    <row r="197" spans="2:13" s="4" customFormat="1" x14ac:dyDescent="0.35">
      <c r="B197" s="4" t="s">
        <v>50</v>
      </c>
    </row>
    <row r="198" spans="2:13" s="4" customFormat="1" x14ac:dyDescent="0.35">
      <c r="B198" s="4" t="s">
        <v>54</v>
      </c>
    </row>
    <row r="199" spans="2:13" x14ac:dyDescent="0.35">
      <c r="B199" t="s">
        <v>41</v>
      </c>
    </row>
    <row r="200" spans="2:13" x14ac:dyDescent="0.35">
      <c r="D200" t="s">
        <v>222</v>
      </c>
      <c r="F200" t="s">
        <v>299</v>
      </c>
      <c r="G200" t="s">
        <v>300</v>
      </c>
      <c r="H200" t="s">
        <v>301</v>
      </c>
    </row>
    <row r="201" spans="2:13" x14ac:dyDescent="0.35">
      <c r="B201" t="s">
        <v>54</v>
      </c>
    </row>
    <row r="202" spans="2:13" x14ac:dyDescent="0.35">
      <c r="B202" t="s">
        <v>41</v>
      </c>
    </row>
    <row r="203" spans="2:13" x14ac:dyDescent="0.35">
      <c r="D203" t="s">
        <v>102</v>
      </c>
      <c r="E203" t="s">
        <v>161</v>
      </c>
      <c r="F203" t="s">
        <v>302</v>
      </c>
      <c r="G203" t="s">
        <v>303</v>
      </c>
      <c r="H203" t="s">
        <v>304</v>
      </c>
      <c r="K203" t="s">
        <v>305</v>
      </c>
      <c r="L203" t="s">
        <v>203</v>
      </c>
      <c r="M203" t="s">
        <v>204</v>
      </c>
    </row>
    <row r="204" spans="2:13" x14ac:dyDescent="0.35">
      <c r="B204" t="s">
        <v>60</v>
      </c>
      <c r="C204" t="s">
        <v>306</v>
      </c>
    </row>
    <row r="205" spans="2:13" x14ac:dyDescent="0.35">
      <c r="D205" t="s">
        <v>68</v>
      </c>
      <c r="F205" t="s">
        <v>307</v>
      </c>
      <c r="G205" t="s">
        <v>308</v>
      </c>
      <c r="H205" t="s">
        <v>309</v>
      </c>
    </row>
    <row r="206" spans="2:13" x14ac:dyDescent="0.35">
      <c r="B206" t="s">
        <v>50</v>
      </c>
    </row>
    <row r="207" spans="2:13" x14ac:dyDescent="0.35">
      <c r="D207" t="s">
        <v>102</v>
      </c>
      <c r="E207" t="s">
        <v>161</v>
      </c>
      <c r="F207" t="s">
        <v>310</v>
      </c>
      <c r="G207" t="s">
        <v>311</v>
      </c>
      <c r="H207" t="s">
        <v>312</v>
      </c>
      <c r="K207" t="s">
        <v>313</v>
      </c>
      <c r="L207" t="s">
        <v>203</v>
      </c>
      <c r="M207" t="s">
        <v>204</v>
      </c>
    </row>
    <row r="208" spans="2:13" x14ac:dyDescent="0.35">
      <c r="B208" t="s">
        <v>60</v>
      </c>
      <c r="C208" t="s">
        <v>314</v>
      </c>
    </row>
    <row r="209" spans="2:19" x14ac:dyDescent="0.35">
      <c r="D209" t="s">
        <v>68</v>
      </c>
      <c r="F209" t="s">
        <v>315</v>
      </c>
      <c r="G209" t="s">
        <v>308</v>
      </c>
      <c r="H209" t="s">
        <v>309</v>
      </c>
    </row>
    <row r="210" spans="2:19" x14ac:dyDescent="0.35">
      <c r="B210" t="s">
        <v>50</v>
      </c>
    </row>
    <row r="211" spans="2:19" x14ac:dyDescent="0.35">
      <c r="D211" t="s">
        <v>102</v>
      </c>
      <c r="E211" t="s">
        <v>249</v>
      </c>
      <c r="F211" t="s">
        <v>316</v>
      </c>
      <c r="G211" t="s">
        <v>317</v>
      </c>
      <c r="H211" t="s">
        <v>318</v>
      </c>
      <c r="K211" t="s">
        <v>319</v>
      </c>
      <c r="L211" t="s">
        <v>203</v>
      </c>
      <c r="M211" t="s">
        <v>204</v>
      </c>
    </row>
    <row r="212" spans="2:19" x14ac:dyDescent="0.35">
      <c r="B212" t="s">
        <v>54</v>
      </c>
    </row>
    <row r="213" spans="2:19" x14ac:dyDescent="0.35">
      <c r="B213" t="s">
        <v>60</v>
      </c>
      <c r="C213" t="s">
        <v>320</v>
      </c>
      <c r="S213" t="s">
        <v>321</v>
      </c>
    </row>
    <row r="214" spans="2:19" x14ac:dyDescent="0.35">
      <c r="B214" t="s">
        <v>41</v>
      </c>
    </row>
    <row r="215" spans="2:19" x14ac:dyDescent="0.35">
      <c r="D215" t="s">
        <v>45</v>
      </c>
      <c r="F215" t="s">
        <v>322</v>
      </c>
      <c r="I215">
        <v>2</v>
      </c>
    </row>
    <row r="216" spans="2:19" x14ac:dyDescent="0.35">
      <c r="D216" t="s">
        <v>158</v>
      </c>
      <c r="G216" t="s">
        <v>323</v>
      </c>
      <c r="H216" t="s">
        <v>324</v>
      </c>
    </row>
    <row r="217" spans="2:19" x14ac:dyDescent="0.35">
      <c r="B217" t="s">
        <v>60</v>
      </c>
      <c r="C217" t="s">
        <v>306</v>
      </c>
    </row>
    <row r="218" spans="2:19" x14ac:dyDescent="0.35">
      <c r="D218" t="s">
        <v>158</v>
      </c>
      <c r="G218" t="s">
        <v>325</v>
      </c>
      <c r="H218" t="s">
        <v>326</v>
      </c>
    </row>
    <row r="219" spans="2:19" x14ac:dyDescent="0.35">
      <c r="B219" t="s">
        <v>50</v>
      </c>
    </row>
    <row r="220" spans="2:19" x14ac:dyDescent="0.35">
      <c r="B220" t="s">
        <v>60</v>
      </c>
      <c r="C220" t="s">
        <v>314</v>
      </c>
    </row>
    <row r="221" spans="2:19" x14ac:dyDescent="0.35">
      <c r="D221" t="s">
        <v>158</v>
      </c>
      <c r="G221" t="s">
        <v>327</v>
      </c>
      <c r="H221" t="s">
        <v>328</v>
      </c>
    </row>
    <row r="222" spans="2:19" x14ac:dyDescent="0.35">
      <c r="B222" t="s">
        <v>50</v>
      </c>
    </row>
    <row r="223" spans="2:19" x14ac:dyDescent="0.35">
      <c r="B223" t="s">
        <v>60</v>
      </c>
      <c r="C223" t="s">
        <v>329</v>
      </c>
    </row>
    <row r="224" spans="2:19" x14ac:dyDescent="0.35">
      <c r="D224" t="s">
        <v>158</v>
      </c>
      <c r="G224" t="s">
        <v>330</v>
      </c>
      <c r="H224" t="s">
        <v>331</v>
      </c>
    </row>
    <row r="225" spans="2:8" x14ac:dyDescent="0.35">
      <c r="B225" t="s">
        <v>50</v>
      </c>
    </row>
    <row r="226" spans="2:8" x14ac:dyDescent="0.35">
      <c r="B226" t="s">
        <v>60</v>
      </c>
      <c r="C226" t="s">
        <v>332</v>
      </c>
    </row>
    <row r="227" spans="2:8" x14ac:dyDescent="0.35">
      <c r="D227" t="s">
        <v>158</v>
      </c>
      <c r="G227" t="s">
        <v>333</v>
      </c>
      <c r="H227" t="s">
        <v>334</v>
      </c>
    </row>
    <row r="228" spans="2:8" x14ac:dyDescent="0.35">
      <c r="B228" t="s">
        <v>50</v>
      </c>
    </row>
    <row r="229" spans="2:8" x14ac:dyDescent="0.35">
      <c r="B229" t="s">
        <v>60</v>
      </c>
      <c r="C229" t="s">
        <v>335</v>
      </c>
    </row>
    <row r="230" spans="2:8" x14ac:dyDescent="0.35">
      <c r="D230" t="s">
        <v>158</v>
      </c>
      <c r="G230" t="s">
        <v>336</v>
      </c>
      <c r="H230" t="s">
        <v>337</v>
      </c>
    </row>
    <row r="231" spans="2:8" x14ac:dyDescent="0.35">
      <c r="B231" t="s">
        <v>50</v>
      </c>
    </row>
    <row r="232" spans="2:8" x14ac:dyDescent="0.35">
      <c r="B232" t="s">
        <v>60</v>
      </c>
      <c r="C232" t="s">
        <v>338</v>
      </c>
    </row>
    <row r="233" spans="2:8" x14ac:dyDescent="0.35">
      <c r="D233" t="s">
        <v>158</v>
      </c>
      <c r="G233" t="s">
        <v>339</v>
      </c>
      <c r="H233" t="s">
        <v>340</v>
      </c>
    </row>
    <row r="234" spans="2:8" x14ac:dyDescent="0.35">
      <c r="B234" t="s">
        <v>50</v>
      </c>
    </row>
    <row r="235" spans="2:8" x14ac:dyDescent="0.35">
      <c r="B235" t="s">
        <v>60</v>
      </c>
      <c r="C235" t="s">
        <v>341</v>
      </c>
    </row>
    <row r="236" spans="2:8" x14ac:dyDescent="0.35">
      <c r="D236" t="s">
        <v>158</v>
      </c>
      <c r="G236" t="s">
        <v>342</v>
      </c>
      <c r="H236" t="s">
        <v>343</v>
      </c>
    </row>
    <row r="237" spans="2:8" x14ac:dyDescent="0.35">
      <c r="B237" t="s">
        <v>50</v>
      </c>
    </row>
    <row r="238" spans="2:8" x14ac:dyDescent="0.35">
      <c r="B238" t="s">
        <v>60</v>
      </c>
      <c r="C238" t="s">
        <v>502</v>
      </c>
    </row>
    <row r="239" spans="2:8" x14ac:dyDescent="0.35">
      <c r="D239" t="s">
        <v>158</v>
      </c>
      <c r="G239" t="s">
        <v>344</v>
      </c>
      <c r="H239" t="s">
        <v>345</v>
      </c>
    </row>
    <row r="240" spans="2:8" x14ac:dyDescent="0.35">
      <c r="B240" t="s">
        <v>50</v>
      </c>
    </row>
    <row r="241" spans="2:25" x14ac:dyDescent="0.35">
      <c r="B241" t="s">
        <v>60</v>
      </c>
      <c r="C241" t="s">
        <v>346</v>
      </c>
    </row>
    <row r="242" spans="2:25" x14ac:dyDescent="0.35">
      <c r="D242" t="s">
        <v>158</v>
      </c>
      <c r="G242" t="s">
        <v>347</v>
      </c>
      <c r="H242" t="s">
        <v>218</v>
      </c>
    </row>
    <row r="243" spans="2:25" x14ac:dyDescent="0.35">
      <c r="B243" t="s">
        <v>50</v>
      </c>
    </row>
    <row r="245" spans="2:25" x14ac:dyDescent="0.35">
      <c r="B245" t="s">
        <v>60</v>
      </c>
      <c r="C245" t="s">
        <v>501</v>
      </c>
    </row>
    <row r="246" spans="2:25" x14ac:dyDescent="0.35">
      <c r="D246" t="s">
        <v>158</v>
      </c>
      <c r="G246" t="s">
        <v>159</v>
      </c>
      <c r="H246" t="s">
        <v>160</v>
      </c>
    </row>
    <row r="247" spans="2:25" x14ac:dyDescent="0.35">
      <c r="B247" t="s">
        <v>50</v>
      </c>
    </row>
    <row r="248" spans="2:25" x14ac:dyDescent="0.35">
      <c r="B248" t="s">
        <v>60</v>
      </c>
      <c r="C248" t="s">
        <v>504</v>
      </c>
      <c r="S248" t="s">
        <v>60</v>
      </c>
      <c r="T248" t="s">
        <v>348</v>
      </c>
    </row>
    <row r="249" spans="2:25" x14ac:dyDescent="0.35">
      <c r="C249" s="2"/>
      <c r="D249" t="s">
        <v>158</v>
      </c>
      <c r="G249" t="s">
        <v>503</v>
      </c>
      <c r="H249" t="s">
        <v>505</v>
      </c>
      <c r="U249" t="s">
        <v>158</v>
      </c>
      <c r="X249" t="s">
        <v>349</v>
      </c>
      <c r="Y249" t="s">
        <v>350</v>
      </c>
    </row>
    <row r="250" spans="2:25" x14ac:dyDescent="0.35">
      <c r="B250" t="s">
        <v>50</v>
      </c>
      <c r="S250" t="s">
        <v>50</v>
      </c>
    </row>
    <row r="255" spans="2:25" x14ac:dyDescent="0.35">
      <c r="B255" t="s">
        <v>54</v>
      </c>
    </row>
    <row r="256" spans="2:25" x14ac:dyDescent="0.35">
      <c r="B256" t="s">
        <v>72</v>
      </c>
    </row>
    <row r="257" spans="2:17" x14ac:dyDescent="0.35">
      <c r="B257" t="s">
        <v>41</v>
      </c>
    </row>
    <row r="258" spans="2:17" x14ac:dyDescent="0.35">
      <c r="D258" t="s">
        <v>82</v>
      </c>
      <c r="F258" t="s">
        <v>351</v>
      </c>
      <c r="G258" t="s">
        <v>352</v>
      </c>
      <c r="H258" t="s">
        <v>353</v>
      </c>
      <c r="K258" t="s">
        <v>354</v>
      </c>
      <c r="L258" t="s">
        <v>355</v>
      </c>
      <c r="M258" t="s">
        <v>356</v>
      </c>
    </row>
    <row r="259" spans="2:17" x14ac:dyDescent="0.35">
      <c r="D259" t="s">
        <v>82</v>
      </c>
      <c r="F259" t="s">
        <v>357</v>
      </c>
      <c r="G259" t="s">
        <v>358</v>
      </c>
      <c r="H259" t="s">
        <v>359</v>
      </c>
      <c r="K259" t="s">
        <v>360</v>
      </c>
      <c r="L259" t="s">
        <v>361</v>
      </c>
      <c r="M259" t="s">
        <v>362</v>
      </c>
    </row>
    <row r="260" spans="2:17" x14ac:dyDescent="0.35">
      <c r="D260" t="s">
        <v>45</v>
      </c>
      <c r="F260" t="s">
        <v>363</v>
      </c>
      <c r="I260" t="s">
        <v>364</v>
      </c>
    </row>
    <row r="261" spans="2:17" x14ac:dyDescent="0.35">
      <c r="D261" t="s">
        <v>158</v>
      </c>
      <c r="G261" t="s">
        <v>365</v>
      </c>
      <c r="H261" t="s">
        <v>366</v>
      </c>
    </row>
    <row r="262" spans="2:17" x14ac:dyDescent="0.35">
      <c r="D262" t="s">
        <v>45</v>
      </c>
      <c r="F262" t="s">
        <v>322</v>
      </c>
      <c r="I262">
        <v>1</v>
      </c>
    </row>
    <row r="263" spans="2:17" x14ac:dyDescent="0.35">
      <c r="B263" t="s">
        <v>54</v>
      </c>
    </row>
    <row r="264" spans="2:17" x14ac:dyDescent="0.35">
      <c r="B264" t="s">
        <v>41</v>
      </c>
    </row>
    <row r="265" spans="2:17" x14ac:dyDescent="0.35">
      <c r="D265" t="s">
        <v>45</v>
      </c>
      <c r="F265" t="s">
        <v>367</v>
      </c>
      <c r="I265" t="s">
        <v>368</v>
      </c>
    </row>
    <row r="266" spans="2:17" x14ac:dyDescent="0.35">
      <c r="D266" t="s">
        <v>51</v>
      </c>
      <c r="F266" t="s">
        <v>367</v>
      </c>
      <c r="G266" t="s">
        <v>369</v>
      </c>
      <c r="H266" t="s">
        <v>370</v>
      </c>
      <c r="Q266" t="b">
        <v>0</v>
      </c>
    </row>
    <row r="267" spans="2:17" x14ac:dyDescent="0.35">
      <c r="D267" t="s">
        <v>371</v>
      </c>
      <c r="F267" t="s">
        <v>372</v>
      </c>
      <c r="G267" t="s">
        <v>373</v>
      </c>
      <c r="H267" t="s">
        <v>374</v>
      </c>
      <c r="K267" t="s">
        <v>375</v>
      </c>
      <c r="L267" t="s">
        <v>203</v>
      </c>
      <c r="M267" t="s">
        <v>204</v>
      </c>
    </row>
    <row r="268" spans="2:17" x14ac:dyDescent="0.35">
      <c r="D268" t="s">
        <v>45</v>
      </c>
      <c r="F268" t="s">
        <v>376</v>
      </c>
      <c r="I268" t="s">
        <v>377</v>
      </c>
    </row>
    <row r="269" spans="2:17" x14ac:dyDescent="0.35">
      <c r="D269" t="s">
        <v>82</v>
      </c>
      <c r="F269" t="s">
        <v>378</v>
      </c>
      <c r="G269" t="s">
        <v>379</v>
      </c>
      <c r="H269" t="s">
        <v>380</v>
      </c>
      <c r="K269" t="s">
        <v>381</v>
      </c>
      <c r="L269" t="s">
        <v>382</v>
      </c>
      <c r="M269" t="s">
        <v>383</v>
      </c>
    </row>
    <row r="270" spans="2:17" x14ac:dyDescent="0.35">
      <c r="D270" t="s">
        <v>45</v>
      </c>
      <c r="F270" t="s">
        <v>384</v>
      </c>
      <c r="I270" t="s">
        <v>385</v>
      </c>
    </row>
    <row r="271" spans="2:17" x14ac:dyDescent="0.35">
      <c r="D271" t="s">
        <v>158</v>
      </c>
      <c r="G271" t="s">
        <v>386</v>
      </c>
      <c r="H271" t="s">
        <v>387</v>
      </c>
    </row>
    <row r="272" spans="2:17" x14ac:dyDescent="0.35">
      <c r="B272" t="s">
        <v>54</v>
      </c>
    </row>
    <row r="273" spans="2:9" x14ac:dyDescent="0.35">
      <c r="B273" t="s">
        <v>50</v>
      </c>
    </row>
    <row r="274" spans="2:9" x14ac:dyDescent="0.35">
      <c r="B274" t="s">
        <v>41</v>
      </c>
    </row>
    <row r="275" spans="2:9" x14ac:dyDescent="0.35">
      <c r="D275" t="s">
        <v>110</v>
      </c>
      <c r="E275" t="s">
        <v>388</v>
      </c>
      <c r="F275" t="s">
        <v>389</v>
      </c>
      <c r="G275" t="s">
        <v>390</v>
      </c>
      <c r="H275" t="s">
        <v>391</v>
      </c>
    </row>
    <row r="276" spans="2:9" x14ac:dyDescent="0.35">
      <c r="B276" t="s">
        <v>60</v>
      </c>
      <c r="C276" t="s">
        <v>392</v>
      </c>
    </row>
    <row r="277" spans="2:9" x14ac:dyDescent="0.35">
      <c r="D277" t="s">
        <v>110</v>
      </c>
      <c r="E277" t="s">
        <v>393</v>
      </c>
      <c r="F277" t="s">
        <v>394</v>
      </c>
      <c r="G277" t="s">
        <v>395</v>
      </c>
      <c r="H277" t="s">
        <v>396</v>
      </c>
    </row>
    <row r="278" spans="2:9" x14ac:dyDescent="0.35">
      <c r="B278" t="s">
        <v>50</v>
      </c>
    </row>
    <row r="279" spans="2:9" x14ac:dyDescent="0.35">
      <c r="B279" t="s">
        <v>54</v>
      </c>
    </row>
    <row r="280" spans="2:9" x14ac:dyDescent="0.35">
      <c r="B280" t="s">
        <v>72</v>
      </c>
    </row>
    <row r="281" spans="2:9" x14ac:dyDescent="0.35">
      <c r="B281" t="s">
        <v>41</v>
      </c>
    </row>
    <row r="282" spans="2:9" x14ac:dyDescent="0.35">
      <c r="D282" t="s">
        <v>158</v>
      </c>
      <c r="G282" t="s">
        <v>397</v>
      </c>
      <c r="H282" t="s">
        <v>398</v>
      </c>
    </row>
    <row r="283" spans="2:9" x14ac:dyDescent="0.35">
      <c r="D283" t="s">
        <v>45</v>
      </c>
      <c r="F283" t="s">
        <v>322</v>
      </c>
      <c r="I283">
        <v>2</v>
      </c>
    </row>
    <row r="284" spans="2:9" x14ac:dyDescent="0.35">
      <c r="B284" t="s">
        <v>54</v>
      </c>
    </row>
    <row r="285" spans="2:9" x14ac:dyDescent="0.35">
      <c r="B285" t="s">
        <v>50</v>
      </c>
    </row>
  </sheetData>
  <pageMargins left="0.7" right="0.7" top="0.75" bottom="0.75" header="0.3" footer="0.3"/>
  <pageSetup paperSize="9" orientation="portrait" horizont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0"/>
  <sheetViews>
    <sheetView workbookViewId="0">
      <pane ySplit="1" topLeftCell="A32" activePane="bottomLeft" state="frozen"/>
      <selection activeCell="B21" sqref="B21"/>
      <selection pane="bottomLeft" activeCell="A58" sqref="A58"/>
    </sheetView>
  </sheetViews>
  <sheetFormatPr defaultRowHeight="14.5" x14ac:dyDescent="0.35"/>
  <cols>
    <col min="1" max="1" width="16.54296875" bestFit="1" customWidth="1"/>
    <col min="2" max="2" width="13.81640625" bestFit="1" customWidth="1"/>
    <col min="3" max="3" width="31.453125" bestFit="1" customWidth="1"/>
    <col min="4" max="4" width="43" bestFit="1" customWidth="1"/>
  </cols>
  <sheetData>
    <row r="1" spans="1:5" s="10" customFormat="1" x14ac:dyDescent="0.35">
      <c r="A1" s="1" t="s">
        <v>399</v>
      </c>
      <c r="B1" s="1" t="s">
        <v>400</v>
      </c>
      <c r="C1" s="1" t="s">
        <v>2</v>
      </c>
      <c r="D1" s="1" t="s">
        <v>3</v>
      </c>
      <c r="E1" s="10" t="s">
        <v>401</v>
      </c>
    </row>
    <row r="2" spans="1:5" x14ac:dyDescent="0.35">
      <c r="A2" t="s">
        <v>103</v>
      </c>
      <c r="B2" t="str">
        <f>"1"</f>
        <v>1</v>
      </c>
      <c r="C2" t="s">
        <v>402</v>
      </c>
      <c r="D2" t="s">
        <v>403</v>
      </c>
    </row>
    <row r="3" spans="1:5" x14ac:dyDescent="0.35">
      <c r="A3" t="s">
        <v>103</v>
      </c>
      <c r="B3" t="str">
        <f>"2"</f>
        <v>2</v>
      </c>
      <c r="C3" t="s">
        <v>404</v>
      </c>
      <c r="D3" t="s">
        <v>405</v>
      </c>
    </row>
    <row r="4" spans="1:5" x14ac:dyDescent="0.35">
      <c r="A4" t="s">
        <v>161</v>
      </c>
      <c r="B4" t="str">
        <f>"1"</f>
        <v>1</v>
      </c>
      <c r="C4" t="s">
        <v>406</v>
      </c>
      <c r="D4" t="s">
        <v>407</v>
      </c>
    </row>
    <row r="5" spans="1:5" x14ac:dyDescent="0.35">
      <c r="A5" t="s">
        <v>161</v>
      </c>
      <c r="B5" t="str">
        <f>"2"</f>
        <v>2</v>
      </c>
      <c r="C5" t="s">
        <v>408</v>
      </c>
      <c r="D5" t="s">
        <v>409</v>
      </c>
    </row>
    <row r="6" spans="1:5" x14ac:dyDescent="0.35">
      <c r="A6" t="s">
        <v>240</v>
      </c>
      <c r="B6" t="str">
        <f>"1"</f>
        <v>1</v>
      </c>
      <c r="C6" t="s">
        <v>410</v>
      </c>
      <c r="D6" t="s">
        <v>411</v>
      </c>
    </row>
    <row r="7" spans="1:5" x14ac:dyDescent="0.35">
      <c r="A7" t="s">
        <v>240</v>
      </c>
      <c r="B7" t="str">
        <f>"2"</f>
        <v>2</v>
      </c>
      <c r="C7" t="s">
        <v>412</v>
      </c>
      <c r="D7" t="s">
        <v>413</v>
      </c>
    </row>
    <row r="8" spans="1:5" x14ac:dyDescent="0.35">
      <c r="A8" t="s">
        <v>147</v>
      </c>
      <c r="B8" t="s">
        <v>87</v>
      </c>
      <c r="C8" t="s">
        <v>414</v>
      </c>
      <c r="D8" t="s">
        <v>415</v>
      </c>
    </row>
    <row r="9" spans="1:5" x14ac:dyDescent="0.35">
      <c r="A9" t="s">
        <v>249</v>
      </c>
      <c r="B9" t="str">
        <f>"1"</f>
        <v>1</v>
      </c>
      <c r="C9" t="s">
        <v>406</v>
      </c>
      <c r="D9" t="s">
        <v>407</v>
      </c>
    </row>
    <row r="10" spans="1:5" x14ac:dyDescent="0.35">
      <c r="A10" t="s">
        <v>249</v>
      </c>
      <c r="B10" t="str">
        <f>"2"</f>
        <v>2</v>
      </c>
      <c r="C10" t="s">
        <v>408</v>
      </c>
      <c r="D10" t="s">
        <v>409</v>
      </c>
    </row>
    <row r="11" spans="1:5" x14ac:dyDescent="0.35">
      <c r="A11" t="s">
        <v>249</v>
      </c>
      <c r="B11" t="str">
        <f>"3"</f>
        <v>3</v>
      </c>
      <c r="C11" t="s">
        <v>416</v>
      </c>
      <c r="D11" t="s">
        <v>415</v>
      </c>
    </row>
    <row r="12" spans="1:5" x14ac:dyDescent="0.35">
      <c r="A12" t="s">
        <v>87</v>
      </c>
      <c r="B12" t="str">
        <f>"99"</f>
        <v>99</v>
      </c>
      <c r="C12" t="s">
        <v>416</v>
      </c>
      <c r="D12" t="s">
        <v>415</v>
      </c>
    </row>
    <row r="13" spans="1:5" x14ac:dyDescent="0.35">
      <c r="A13" t="s">
        <v>388</v>
      </c>
      <c r="B13" t="str">
        <f>"2"</f>
        <v>2</v>
      </c>
      <c r="C13" t="s">
        <v>417</v>
      </c>
      <c r="D13" t="s">
        <v>417</v>
      </c>
      <c r="E13" t="s">
        <v>418</v>
      </c>
    </row>
    <row r="14" spans="1:5" x14ac:dyDescent="0.35">
      <c r="A14" t="s">
        <v>388</v>
      </c>
      <c r="B14" t="str">
        <f>"3"</f>
        <v>3</v>
      </c>
      <c r="C14" t="s">
        <v>419</v>
      </c>
      <c r="D14" t="s">
        <v>419</v>
      </c>
    </row>
    <row r="15" spans="1:5" x14ac:dyDescent="0.35">
      <c r="A15" t="s">
        <v>388</v>
      </c>
      <c r="B15" t="str">
        <f>"4"</f>
        <v>4</v>
      </c>
      <c r="C15" t="s">
        <v>420</v>
      </c>
      <c r="D15" t="s">
        <v>420</v>
      </c>
    </row>
    <row r="16" spans="1:5" x14ac:dyDescent="0.35">
      <c r="A16" t="s">
        <v>388</v>
      </c>
      <c r="B16" t="str">
        <f>"5"</f>
        <v>5</v>
      </c>
      <c r="C16" t="s">
        <v>421</v>
      </c>
      <c r="D16" t="s">
        <v>421</v>
      </c>
      <c r="E16" t="s">
        <v>422</v>
      </c>
    </row>
    <row r="17" spans="1:5" x14ac:dyDescent="0.35">
      <c r="A17" t="s">
        <v>393</v>
      </c>
      <c r="B17" t="str">
        <f>"2"</f>
        <v>2</v>
      </c>
      <c r="C17" t="s">
        <v>417</v>
      </c>
      <c r="D17" t="s">
        <v>417</v>
      </c>
      <c r="E17" t="s">
        <v>423</v>
      </c>
    </row>
    <row r="18" spans="1:5" x14ac:dyDescent="0.35">
      <c r="A18" t="s">
        <v>393</v>
      </c>
      <c r="B18" t="str">
        <f>"3"</f>
        <v>3</v>
      </c>
      <c r="C18" t="s">
        <v>419</v>
      </c>
      <c r="D18" t="s">
        <v>419</v>
      </c>
    </row>
    <row r="19" spans="1:5" x14ac:dyDescent="0.35">
      <c r="A19" t="s">
        <v>393</v>
      </c>
      <c r="B19" t="str">
        <f>"4"</f>
        <v>4</v>
      </c>
      <c r="C19" t="s">
        <v>420</v>
      </c>
      <c r="D19" t="s">
        <v>420</v>
      </c>
    </row>
    <row r="20" spans="1:5" x14ac:dyDescent="0.35">
      <c r="A20" t="s">
        <v>393</v>
      </c>
      <c r="B20" t="str">
        <f>"5"</f>
        <v>5</v>
      </c>
      <c r="C20" t="s">
        <v>424</v>
      </c>
      <c r="D20" t="s">
        <v>424</v>
      </c>
    </row>
    <row r="21" spans="1:5" x14ac:dyDescent="0.35">
      <c r="A21" t="s">
        <v>388</v>
      </c>
      <c r="B21" t="str">
        <f>"6"</f>
        <v>6</v>
      </c>
      <c r="C21" t="s">
        <v>421</v>
      </c>
      <c r="D21" t="s">
        <v>421</v>
      </c>
    </row>
    <row r="22" spans="1:5" x14ac:dyDescent="0.35">
      <c r="A22" t="s">
        <v>282</v>
      </c>
      <c r="B22" t="str">
        <f>"1"</f>
        <v>1</v>
      </c>
      <c r="C22" t="s">
        <v>425</v>
      </c>
      <c r="D22" t="s">
        <v>425</v>
      </c>
    </row>
    <row r="23" spans="1:5" x14ac:dyDescent="0.35">
      <c r="A23" t="s">
        <v>282</v>
      </c>
      <c r="B23" t="str">
        <f>"2"</f>
        <v>2</v>
      </c>
      <c r="C23" t="s">
        <v>426</v>
      </c>
      <c r="D23" t="s">
        <v>426</v>
      </c>
    </row>
    <row r="24" spans="1:5" x14ac:dyDescent="0.35">
      <c r="A24" t="s">
        <v>282</v>
      </c>
      <c r="B24" t="str">
        <f>"3"</f>
        <v>3</v>
      </c>
      <c r="C24" t="s">
        <v>427</v>
      </c>
      <c r="D24" t="s">
        <v>427</v>
      </c>
    </row>
    <row r="25" spans="1:5" x14ac:dyDescent="0.35">
      <c r="A25" t="s">
        <v>282</v>
      </c>
      <c r="B25" t="str">
        <f>"4"</f>
        <v>4</v>
      </c>
      <c r="C25" t="s">
        <v>428</v>
      </c>
      <c r="D25" t="s">
        <v>428</v>
      </c>
    </row>
    <row r="26" spans="1:5" x14ac:dyDescent="0.35">
      <c r="A26" t="s">
        <v>282</v>
      </c>
      <c r="B26" t="str">
        <f>"5"</f>
        <v>5</v>
      </c>
      <c r="C26" t="s">
        <v>429</v>
      </c>
      <c r="D26" t="s">
        <v>429</v>
      </c>
    </row>
    <row r="27" spans="1:5" x14ac:dyDescent="0.35">
      <c r="A27" t="s">
        <v>282</v>
      </c>
      <c r="B27" t="str">
        <f>"6"</f>
        <v>6</v>
      </c>
      <c r="C27" t="s">
        <v>430</v>
      </c>
      <c r="D27" t="s">
        <v>430</v>
      </c>
    </row>
    <row r="28" spans="1:5" x14ac:dyDescent="0.35">
      <c r="A28" t="s">
        <v>282</v>
      </c>
      <c r="B28" t="str">
        <f>"7"</f>
        <v>7</v>
      </c>
      <c r="C28" t="s">
        <v>431</v>
      </c>
      <c r="D28" t="s">
        <v>431</v>
      </c>
      <c r="E28" t="s">
        <v>432</v>
      </c>
    </row>
    <row r="29" spans="1:5" x14ac:dyDescent="0.35">
      <c r="A29" t="s">
        <v>282</v>
      </c>
      <c r="B29" t="str">
        <f>"8"</f>
        <v>8</v>
      </c>
      <c r="C29" t="s">
        <v>433</v>
      </c>
      <c r="D29" t="s">
        <v>433</v>
      </c>
      <c r="E29" t="s">
        <v>434</v>
      </c>
    </row>
    <row r="30" spans="1:5" x14ac:dyDescent="0.35">
      <c r="A30" t="s">
        <v>282</v>
      </c>
      <c r="B30" t="str">
        <f>"9"</f>
        <v>9</v>
      </c>
      <c r="C30" t="s">
        <v>435</v>
      </c>
      <c r="D30" t="s">
        <v>435</v>
      </c>
      <c r="E30" t="s">
        <v>436</v>
      </c>
    </row>
    <row r="31" spans="1:5" x14ac:dyDescent="0.35">
      <c r="A31" t="s">
        <v>282</v>
      </c>
      <c r="B31" t="str">
        <f>"10"</f>
        <v>10</v>
      </c>
      <c r="C31" t="s">
        <v>437</v>
      </c>
      <c r="D31" t="s">
        <v>437</v>
      </c>
      <c r="E31" t="s">
        <v>438</v>
      </c>
    </row>
    <row r="32" spans="1:5" x14ac:dyDescent="0.35">
      <c r="A32" t="s">
        <v>282</v>
      </c>
      <c r="B32" t="str">
        <f>"11"</f>
        <v>11</v>
      </c>
      <c r="C32" t="s">
        <v>439</v>
      </c>
      <c r="D32" t="s">
        <v>439</v>
      </c>
      <c r="E32" t="s">
        <v>440</v>
      </c>
    </row>
    <row r="33" spans="1:5" x14ac:dyDescent="0.35">
      <c r="A33" t="s">
        <v>282</v>
      </c>
      <c r="B33" t="str">
        <f>"12"</f>
        <v>12</v>
      </c>
      <c r="C33" t="s">
        <v>441</v>
      </c>
      <c r="D33" t="s">
        <v>441</v>
      </c>
      <c r="E33" t="s">
        <v>442</v>
      </c>
    </row>
    <row r="34" spans="1:5" x14ac:dyDescent="0.35">
      <c r="A34" t="s">
        <v>282</v>
      </c>
      <c r="B34" t="str">
        <f>"13"</f>
        <v>13</v>
      </c>
      <c r="C34" t="s">
        <v>443</v>
      </c>
      <c r="D34" t="s">
        <v>443</v>
      </c>
      <c r="E34" t="s">
        <v>444</v>
      </c>
    </row>
    <row r="35" spans="1:5" x14ac:dyDescent="0.35">
      <c r="A35" t="s">
        <v>282</v>
      </c>
      <c r="B35" t="str">
        <f>"14"</f>
        <v>14</v>
      </c>
      <c r="C35" t="s">
        <v>445</v>
      </c>
      <c r="D35" t="s">
        <v>445</v>
      </c>
      <c r="E35" t="s">
        <v>446</v>
      </c>
    </row>
    <row r="36" spans="1:5" x14ac:dyDescent="0.35">
      <c r="A36" t="s">
        <v>282</v>
      </c>
      <c r="B36" t="str">
        <f>"15"</f>
        <v>15</v>
      </c>
      <c r="C36" t="s">
        <v>447</v>
      </c>
      <c r="D36" t="s">
        <v>447</v>
      </c>
      <c r="E36" t="s">
        <v>448</v>
      </c>
    </row>
    <row r="37" spans="1:5" x14ac:dyDescent="0.35">
      <c r="A37" t="s">
        <v>282</v>
      </c>
      <c r="B37" t="str">
        <f>"16"</f>
        <v>16</v>
      </c>
      <c r="C37" t="s">
        <v>449</v>
      </c>
      <c r="D37" t="s">
        <v>449</v>
      </c>
      <c r="E37" t="s">
        <v>450</v>
      </c>
    </row>
    <row r="38" spans="1:5" x14ac:dyDescent="0.35">
      <c r="A38" t="s">
        <v>282</v>
      </c>
      <c r="B38" t="str">
        <f>"17"</f>
        <v>17</v>
      </c>
      <c r="C38" t="s">
        <v>451</v>
      </c>
      <c r="D38" t="s">
        <v>451</v>
      </c>
      <c r="E38" t="s">
        <v>452</v>
      </c>
    </row>
    <row r="39" spans="1:5" x14ac:dyDescent="0.35">
      <c r="A39" t="s">
        <v>282</v>
      </c>
      <c r="B39" t="str">
        <f>"18"</f>
        <v>18</v>
      </c>
      <c r="C39" t="s">
        <v>453</v>
      </c>
      <c r="D39" t="s">
        <v>453</v>
      </c>
      <c r="E39" t="s">
        <v>454</v>
      </c>
    </row>
    <row r="40" spans="1:5" x14ac:dyDescent="0.35">
      <c r="A40" t="s">
        <v>282</v>
      </c>
      <c r="B40" t="str">
        <f>"77"</f>
        <v>77</v>
      </c>
      <c r="C40" t="s">
        <v>455</v>
      </c>
      <c r="D40" t="s">
        <v>456</v>
      </c>
    </row>
    <row r="41" spans="1:5" x14ac:dyDescent="0.35">
      <c r="A41" t="s">
        <v>184</v>
      </c>
      <c r="B41" t="str">
        <f>"1"</f>
        <v>1</v>
      </c>
      <c r="C41" t="s">
        <v>457</v>
      </c>
      <c r="D41" t="s">
        <v>458</v>
      </c>
    </row>
    <row r="42" spans="1:5" x14ac:dyDescent="0.35">
      <c r="A42" t="s">
        <v>184</v>
      </c>
      <c r="B42" t="str">
        <f>"2"</f>
        <v>2</v>
      </c>
      <c r="C42" t="s">
        <v>459</v>
      </c>
      <c r="D42" t="s">
        <v>460</v>
      </c>
    </row>
    <row r="43" spans="1:5" x14ac:dyDescent="0.35">
      <c r="A43" t="s">
        <v>190</v>
      </c>
      <c r="B43" t="str">
        <f>"1"</f>
        <v>1</v>
      </c>
      <c r="C43" t="s">
        <v>457</v>
      </c>
      <c r="D43" t="s">
        <v>458</v>
      </c>
    </row>
    <row r="44" spans="1:5" x14ac:dyDescent="0.35">
      <c r="A44" t="s">
        <v>190</v>
      </c>
      <c r="B44" t="str">
        <f>"2"</f>
        <v>2</v>
      </c>
      <c r="C44" t="s">
        <v>459</v>
      </c>
      <c r="D44" t="s">
        <v>460</v>
      </c>
    </row>
    <row r="45" spans="1:5" x14ac:dyDescent="0.35">
      <c r="A45" t="s">
        <v>190</v>
      </c>
      <c r="B45" t="str">
        <f>"3"</f>
        <v>3</v>
      </c>
      <c r="C45" t="s">
        <v>461</v>
      </c>
      <c r="D45" t="s">
        <v>462</v>
      </c>
    </row>
    <row r="46" spans="1:5" x14ac:dyDescent="0.35">
      <c r="A46" t="s">
        <v>129</v>
      </c>
      <c r="B46" t="str">
        <f t="shared" ref="B46:B47" si="0">"99"</f>
        <v>99</v>
      </c>
      <c r="C46" t="s">
        <v>463</v>
      </c>
      <c r="D46" t="s">
        <v>500</v>
      </c>
    </row>
    <row r="47" spans="1:5" x14ac:dyDescent="0.35">
      <c r="A47" t="s">
        <v>138</v>
      </c>
      <c r="B47" t="str">
        <f t="shared" si="0"/>
        <v>99</v>
      </c>
      <c r="C47" t="s">
        <v>464</v>
      </c>
      <c r="D47" t="s">
        <v>465</v>
      </c>
    </row>
    <row r="48" spans="1:5" x14ac:dyDescent="0.35">
      <c r="A48" t="s">
        <v>166</v>
      </c>
      <c r="B48" t="str">
        <f>"1"</f>
        <v>1</v>
      </c>
      <c r="C48" t="s">
        <v>466</v>
      </c>
      <c r="D48" t="s">
        <v>467</v>
      </c>
    </row>
    <row r="49" spans="1:4" x14ac:dyDescent="0.35">
      <c r="A49" t="s">
        <v>166</v>
      </c>
      <c r="B49" t="str">
        <f>"2"</f>
        <v>2</v>
      </c>
      <c r="C49" t="s">
        <v>468</v>
      </c>
      <c r="D49" t="s">
        <v>469</v>
      </c>
    </row>
    <row r="50" spans="1:4" x14ac:dyDescent="0.35">
      <c r="A50" t="s">
        <v>111</v>
      </c>
      <c r="B50" t="str">
        <f>"1"</f>
        <v>1</v>
      </c>
      <c r="C50" t="s">
        <v>457</v>
      </c>
      <c r="D50" t="s">
        <v>458</v>
      </c>
    </row>
    <row r="51" spans="1:4" x14ac:dyDescent="0.35">
      <c r="A51" t="s">
        <v>111</v>
      </c>
      <c r="B51" t="str">
        <f>"2"</f>
        <v>2</v>
      </c>
      <c r="C51" t="s">
        <v>459</v>
      </c>
      <c r="D51" t="s">
        <v>460</v>
      </c>
    </row>
    <row r="52" spans="1:4" x14ac:dyDescent="0.35">
      <c r="A52" t="s">
        <v>111</v>
      </c>
      <c r="B52" t="str">
        <f>"3"</f>
        <v>3</v>
      </c>
      <c r="C52" t="s">
        <v>470</v>
      </c>
      <c r="D52" t="s">
        <v>471</v>
      </c>
    </row>
    <row r="53" spans="1:4" x14ac:dyDescent="0.35">
      <c r="A53" t="s">
        <v>111</v>
      </c>
      <c r="B53" t="str">
        <f>"4"</f>
        <v>4</v>
      </c>
      <c r="C53" t="s">
        <v>472</v>
      </c>
      <c r="D53" t="s">
        <v>473</v>
      </c>
    </row>
    <row r="54" spans="1:4" x14ac:dyDescent="0.35">
      <c r="A54" t="s">
        <v>171</v>
      </c>
      <c r="B54" t="str">
        <f>"1"</f>
        <v>1</v>
      </c>
      <c r="C54" t="s">
        <v>406</v>
      </c>
      <c r="D54" t="s">
        <v>407</v>
      </c>
    </row>
    <row r="55" spans="1:4" x14ac:dyDescent="0.35">
      <c r="A55" t="s">
        <v>530</v>
      </c>
      <c r="B55" t="s">
        <v>531</v>
      </c>
      <c r="C55" t="s">
        <v>532</v>
      </c>
      <c r="D55" t="s">
        <v>533</v>
      </c>
    </row>
    <row r="56" spans="1:4" x14ac:dyDescent="0.35">
      <c r="A56" t="s">
        <v>530</v>
      </c>
      <c r="B56" t="str">
        <f>"2"</f>
        <v>2</v>
      </c>
      <c r="C56" t="s">
        <v>534</v>
      </c>
      <c r="D56" t="s">
        <v>535</v>
      </c>
    </row>
    <row r="57" spans="1:4" x14ac:dyDescent="0.35">
      <c r="A57" t="s">
        <v>530</v>
      </c>
      <c r="B57" s="16" t="s">
        <v>536</v>
      </c>
      <c r="C57" t="s">
        <v>537</v>
      </c>
      <c r="D57" t="s">
        <v>544</v>
      </c>
    </row>
    <row r="58" spans="1:4" x14ac:dyDescent="0.35">
      <c r="A58" t="s">
        <v>520</v>
      </c>
      <c r="B58" t="s">
        <v>531</v>
      </c>
      <c r="C58" t="s">
        <v>540</v>
      </c>
      <c r="D58" t="s">
        <v>540</v>
      </c>
    </row>
    <row r="78" spans="2:2" x14ac:dyDescent="0.35">
      <c r="B78" s="11"/>
    </row>
    <row r="79" spans="2:2" x14ac:dyDescent="0.35">
      <c r="B79" s="11"/>
    </row>
    <row r="80" spans="2:2" x14ac:dyDescent="0.35">
      <c r="B80" s="11"/>
    </row>
    <row r="81" spans="2:2" x14ac:dyDescent="0.35">
      <c r="B81" s="11"/>
    </row>
    <row r="82" spans="2:2" x14ac:dyDescent="0.35">
      <c r="B82" s="11"/>
    </row>
    <row r="83" spans="2:2" x14ac:dyDescent="0.35">
      <c r="B83" s="11"/>
    </row>
    <row r="84" spans="2:2" x14ac:dyDescent="0.35">
      <c r="B84" s="11"/>
    </row>
    <row r="85" spans="2:2" x14ac:dyDescent="0.35">
      <c r="B85" s="11"/>
    </row>
    <row r="86" spans="2:2" x14ac:dyDescent="0.35">
      <c r="B86" s="11"/>
    </row>
    <row r="87" spans="2:2" x14ac:dyDescent="0.35">
      <c r="B87" s="11"/>
    </row>
    <row r="88" spans="2:2" x14ac:dyDescent="0.35">
      <c r="B88" s="11"/>
    </row>
    <row r="89" spans="2:2" x14ac:dyDescent="0.35">
      <c r="B89" s="11"/>
    </row>
    <row r="90" spans="2:2" x14ac:dyDescent="0.35">
      <c r="B90" s="11"/>
    </row>
    <row r="91" spans="2:2" x14ac:dyDescent="0.35">
      <c r="B91" s="11"/>
    </row>
    <row r="92" spans="2:2" x14ac:dyDescent="0.35">
      <c r="B92" s="11"/>
    </row>
    <row r="93" spans="2:2" x14ac:dyDescent="0.35">
      <c r="B93" s="11"/>
    </row>
    <row r="94" spans="2:2" x14ac:dyDescent="0.35">
      <c r="B94" s="11"/>
    </row>
    <row r="95" spans="2:2" x14ac:dyDescent="0.35">
      <c r="B95" s="11"/>
    </row>
    <row r="96" spans="2:2" x14ac:dyDescent="0.35">
      <c r="B96" s="11"/>
    </row>
    <row r="97" spans="2:3" x14ac:dyDescent="0.35">
      <c r="B97" s="11"/>
    </row>
    <row r="98" spans="2:3" x14ac:dyDescent="0.35">
      <c r="B98" s="11"/>
    </row>
    <row r="99" spans="2:3" x14ac:dyDescent="0.35">
      <c r="B99" s="11"/>
    </row>
    <row r="100" spans="2:3" x14ac:dyDescent="0.35">
      <c r="B100" s="11"/>
    </row>
    <row r="101" spans="2:3" x14ac:dyDescent="0.35">
      <c r="B101" s="11"/>
    </row>
    <row r="102" spans="2:3" x14ac:dyDescent="0.35">
      <c r="B102" s="11"/>
    </row>
    <row r="103" spans="2:3" x14ac:dyDescent="0.35">
      <c r="B103" s="11"/>
    </row>
    <row r="104" spans="2:3" x14ac:dyDescent="0.35">
      <c r="B104" s="11"/>
    </row>
    <row r="105" spans="2:3" x14ac:dyDescent="0.35">
      <c r="B105" s="11"/>
    </row>
    <row r="106" spans="2:3" x14ac:dyDescent="0.35">
      <c r="B106" s="11"/>
    </row>
    <row r="107" spans="2:3" x14ac:dyDescent="0.35">
      <c r="B107" s="11"/>
    </row>
    <row r="108" spans="2:3" x14ac:dyDescent="0.35">
      <c r="B108" s="11"/>
    </row>
    <row r="109" spans="2:3" x14ac:dyDescent="0.35">
      <c r="B109" s="11"/>
      <c r="C109" s="11"/>
    </row>
    <row r="110" spans="2:3" x14ac:dyDescent="0.35">
      <c r="B110" s="11"/>
      <c r="C110" s="11"/>
    </row>
    <row r="111" spans="2:3" x14ac:dyDescent="0.35">
      <c r="B111" s="11"/>
      <c r="C111" s="11"/>
    </row>
    <row r="112" spans="2:3" x14ac:dyDescent="0.35">
      <c r="B112" s="11"/>
      <c r="C112" s="11"/>
    </row>
    <row r="113" spans="2:3" x14ac:dyDescent="0.35">
      <c r="B113" s="11"/>
      <c r="C113" s="11"/>
    </row>
    <row r="114" spans="2:3" x14ac:dyDescent="0.35">
      <c r="B114" s="11"/>
      <c r="C114" s="11"/>
    </row>
    <row r="115" spans="2:3" x14ac:dyDescent="0.35">
      <c r="B115" s="11"/>
      <c r="C115" s="11"/>
    </row>
    <row r="116" spans="2:3" x14ac:dyDescent="0.35">
      <c r="C116" s="11"/>
    </row>
    <row r="117" spans="2:3" x14ac:dyDescent="0.35">
      <c r="B117" s="11"/>
      <c r="C117" s="11"/>
    </row>
    <row r="118" spans="2:3" x14ac:dyDescent="0.35">
      <c r="B118" s="11"/>
      <c r="C118" s="11"/>
    </row>
    <row r="119" spans="2:3" x14ac:dyDescent="0.35">
      <c r="B119" s="11"/>
      <c r="C119" s="11"/>
    </row>
    <row r="120" spans="2:3" x14ac:dyDescent="0.35">
      <c r="B120" s="11"/>
      <c r="C120" s="11"/>
    </row>
    <row r="121" spans="2:3" x14ac:dyDescent="0.35">
      <c r="B121" s="11"/>
      <c r="C121" s="11"/>
    </row>
    <row r="122" spans="2:3" x14ac:dyDescent="0.35">
      <c r="B122" s="11"/>
      <c r="C122" s="11"/>
    </row>
    <row r="123" spans="2:3" x14ac:dyDescent="0.35">
      <c r="B123" s="11"/>
      <c r="C123" s="11"/>
    </row>
    <row r="124" spans="2:3" x14ac:dyDescent="0.35">
      <c r="B124" s="11"/>
      <c r="C124" s="11"/>
    </row>
    <row r="125" spans="2:3" x14ac:dyDescent="0.35">
      <c r="B125" s="11"/>
      <c r="C125" s="11"/>
    </row>
    <row r="126" spans="2:3" x14ac:dyDescent="0.35">
      <c r="B126" s="11"/>
      <c r="C126" s="11"/>
    </row>
    <row r="127" spans="2:3" x14ac:dyDescent="0.35">
      <c r="B127" s="11"/>
      <c r="C127" s="11"/>
    </row>
    <row r="128" spans="2:3" x14ac:dyDescent="0.35">
      <c r="B128" s="11"/>
      <c r="C128" s="11"/>
    </row>
    <row r="129" spans="2:3" x14ac:dyDescent="0.35">
      <c r="B129" s="11"/>
      <c r="C129" s="11"/>
    </row>
    <row r="130" spans="2:3" x14ac:dyDescent="0.35">
      <c r="B130" s="11"/>
      <c r="C130" s="11"/>
    </row>
    <row r="131" spans="2:3" x14ac:dyDescent="0.35">
      <c r="B131" s="11"/>
      <c r="C131" s="11"/>
    </row>
    <row r="132" spans="2:3" x14ac:dyDescent="0.35">
      <c r="B132" s="11"/>
      <c r="C132" s="11"/>
    </row>
    <row r="133" spans="2:3" x14ac:dyDescent="0.35">
      <c r="B133" s="11"/>
      <c r="C133" s="11"/>
    </row>
    <row r="134" spans="2:3" x14ac:dyDescent="0.35">
      <c r="B134" s="11"/>
      <c r="C134" s="11"/>
    </row>
    <row r="135" spans="2:3" x14ac:dyDescent="0.35">
      <c r="B135" s="11"/>
    </row>
    <row r="136" spans="2:3" x14ac:dyDescent="0.35">
      <c r="B136" s="11"/>
    </row>
    <row r="137" spans="2:3" x14ac:dyDescent="0.35">
      <c r="B137" s="11"/>
    </row>
    <row r="138" spans="2:3" x14ac:dyDescent="0.35">
      <c r="B138" s="11"/>
    </row>
    <row r="139" spans="2:3" x14ac:dyDescent="0.35">
      <c r="B139" s="11"/>
    </row>
    <row r="140" spans="2:3" x14ac:dyDescent="0.35">
      <c r="B140" s="11"/>
    </row>
    <row r="141" spans="2:3" x14ac:dyDescent="0.35">
      <c r="B141" s="11"/>
    </row>
    <row r="143" spans="2:3" x14ac:dyDescent="0.35">
      <c r="B143" s="11"/>
    </row>
    <row r="144" spans="2:3" x14ac:dyDescent="0.35">
      <c r="B144" s="11"/>
    </row>
    <row r="145" spans="2:2" x14ac:dyDescent="0.35">
      <c r="B145" s="11"/>
    </row>
    <row r="146" spans="2:2" x14ac:dyDescent="0.35">
      <c r="B146" s="11"/>
    </row>
    <row r="147" spans="2:2" x14ac:dyDescent="0.35">
      <c r="B147" s="11"/>
    </row>
    <row r="148" spans="2:2" x14ac:dyDescent="0.35">
      <c r="B148" s="11"/>
    </row>
    <row r="149" spans="2:2" x14ac:dyDescent="0.35">
      <c r="B149" s="11"/>
    </row>
    <row r="150" spans="2:2" x14ac:dyDescent="0.35">
      <c r="B150" s="11"/>
    </row>
    <row r="151" spans="2:2" x14ac:dyDescent="0.35">
      <c r="B151" s="11"/>
    </row>
    <row r="152" spans="2:2" x14ac:dyDescent="0.35">
      <c r="B152" s="11"/>
    </row>
    <row r="153" spans="2:2" x14ac:dyDescent="0.35">
      <c r="B153" s="11"/>
    </row>
    <row r="154" spans="2:2" x14ac:dyDescent="0.35">
      <c r="B154" s="11"/>
    </row>
    <row r="155" spans="2:2" x14ac:dyDescent="0.35">
      <c r="B155" s="11"/>
    </row>
    <row r="156" spans="2:2" x14ac:dyDescent="0.35">
      <c r="B156" s="11"/>
    </row>
    <row r="157" spans="2:2" x14ac:dyDescent="0.35">
      <c r="B157" s="11"/>
    </row>
    <row r="158" spans="2:2" x14ac:dyDescent="0.35">
      <c r="B158" s="11"/>
    </row>
    <row r="159" spans="2:2" x14ac:dyDescent="0.35">
      <c r="B159" s="11"/>
    </row>
    <row r="160" spans="2:2" x14ac:dyDescent="0.35">
      <c r="B160" s="11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"/>
  <sheetViews>
    <sheetView workbookViewId="0">
      <pane ySplit="1" topLeftCell="A2" activePane="bottomLeft" state="frozen"/>
      <selection activeCell="B3" sqref="B3"/>
      <selection pane="bottomLeft"/>
    </sheetView>
  </sheetViews>
  <sheetFormatPr defaultRowHeight="14.5" x14ac:dyDescent="0.35"/>
  <cols>
    <col min="1" max="1" width="16.7265625" bestFit="1" customWidth="1"/>
    <col min="2" max="2" width="40.54296875" bestFit="1" customWidth="1"/>
  </cols>
  <sheetData>
    <row r="1" spans="1:2" x14ac:dyDescent="0.35">
      <c r="A1" s="12" t="s">
        <v>474</v>
      </c>
      <c r="B1" s="12" t="s">
        <v>29</v>
      </c>
    </row>
    <row r="2" spans="1:2" x14ac:dyDescent="0.35">
      <c r="A2" t="s">
        <v>475</v>
      </c>
      <c r="B2" t="s">
        <v>476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453125" bestFit="1" customWidth="1"/>
    <col min="2" max="2" width="12.1796875" bestFit="1" customWidth="1"/>
    <col min="3" max="3" width="20.7265625" bestFit="1" customWidth="1"/>
    <col min="4" max="4" width="40.1796875" customWidth="1"/>
  </cols>
  <sheetData>
    <row r="1" spans="1:4" s="10" customFormat="1" x14ac:dyDescent="0.35">
      <c r="A1" s="1" t="s">
        <v>477</v>
      </c>
      <c r="B1" s="1" t="s">
        <v>478</v>
      </c>
      <c r="C1" s="1" t="s">
        <v>479</v>
      </c>
      <c r="D1" s="1" t="s">
        <v>480</v>
      </c>
    </row>
    <row r="2" spans="1:4" ht="130.5" x14ac:dyDescent="0.35">
      <c r="A2" t="s">
        <v>56</v>
      </c>
      <c r="B2" t="s">
        <v>481</v>
      </c>
      <c r="C2" t="s">
        <v>482</v>
      </c>
      <c r="D2" s="2" t="s">
        <v>483</v>
      </c>
    </row>
    <row r="3" spans="1:4" ht="87" x14ac:dyDescent="0.35">
      <c r="A3" t="s">
        <v>62</v>
      </c>
      <c r="B3" t="s">
        <v>481</v>
      </c>
      <c r="C3" t="s">
        <v>482</v>
      </c>
      <c r="D3" s="2" t="s">
        <v>484</v>
      </c>
    </row>
  </sheetData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.81640625" bestFit="1" customWidth="1"/>
    <col min="2" max="2" width="6" bestFit="1" customWidth="1"/>
    <col min="3" max="3" width="12.81640625" bestFit="1" customWidth="1"/>
    <col min="4" max="4" width="34.1796875" bestFit="1" customWidth="1"/>
  </cols>
  <sheetData>
    <row r="1" spans="1:4" s="13" customFormat="1" x14ac:dyDescent="0.35">
      <c r="A1" s="13" t="s">
        <v>485</v>
      </c>
      <c r="B1" s="13" t="s">
        <v>24</v>
      </c>
      <c r="C1" s="13" t="s">
        <v>486</v>
      </c>
      <c r="D1" s="13" t="s">
        <v>40</v>
      </c>
    </row>
    <row r="2" spans="1:4" x14ac:dyDescent="0.35">
      <c r="A2" t="s">
        <v>51</v>
      </c>
      <c r="B2" t="s">
        <v>487</v>
      </c>
      <c r="C2" t="s">
        <v>487</v>
      </c>
      <c r="D2" t="s">
        <v>488</v>
      </c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31"/>
  <sheetViews>
    <sheetView workbookViewId="0">
      <pane ySplit="1" topLeftCell="A2" activePane="bottomLeft" state="frozen"/>
      <selection activeCell="A53" sqref="A53:C53"/>
      <selection pane="bottomLeft" activeCell="A12" sqref="A12:C16"/>
    </sheetView>
  </sheetViews>
  <sheetFormatPr defaultRowHeight="14.5" x14ac:dyDescent="0.35"/>
  <cols>
    <col min="1" max="1" width="13.7265625" bestFit="1" customWidth="1"/>
    <col min="2" max="2" width="23.1796875" bestFit="1" customWidth="1"/>
    <col min="3" max="3" width="16.7265625" bestFit="1" customWidth="1"/>
  </cols>
  <sheetData>
    <row r="1" spans="1:5" s="1" customFormat="1" x14ac:dyDescent="0.35">
      <c r="A1" s="1" t="s">
        <v>26</v>
      </c>
      <c r="B1" s="1" t="s">
        <v>24</v>
      </c>
      <c r="C1" s="1" t="s">
        <v>489</v>
      </c>
      <c r="D1" s="1" t="s">
        <v>490</v>
      </c>
    </row>
    <row r="2" spans="1:5" x14ac:dyDescent="0.35">
      <c r="A2" t="s">
        <v>394</v>
      </c>
      <c r="B2" t="s">
        <v>110</v>
      </c>
      <c r="C2" t="b">
        <v>0</v>
      </c>
      <c r="D2" t="s">
        <v>491</v>
      </c>
    </row>
    <row r="3" spans="1:5" x14ac:dyDescent="0.35">
      <c r="A3" t="s">
        <v>57</v>
      </c>
      <c r="B3" t="s">
        <v>55</v>
      </c>
      <c r="C3" t="b">
        <v>0</v>
      </c>
    </row>
    <row r="4" spans="1:5" x14ac:dyDescent="0.35">
      <c r="A4" t="s">
        <v>234</v>
      </c>
      <c r="B4" t="s">
        <v>82</v>
      </c>
      <c r="C4" t="b">
        <v>0</v>
      </c>
    </row>
    <row r="5" spans="1:5" x14ac:dyDescent="0.35">
      <c r="A5" t="s">
        <v>78</v>
      </c>
      <c r="B5" t="s">
        <v>82</v>
      </c>
      <c r="C5" t="b">
        <v>0</v>
      </c>
    </row>
    <row r="6" spans="1:5" x14ac:dyDescent="0.35">
      <c r="A6" t="s">
        <v>88</v>
      </c>
      <c r="B6" t="s">
        <v>86</v>
      </c>
      <c r="C6" t="b">
        <v>1</v>
      </c>
    </row>
    <row r="7" spans="1:5" x14ac:dyDescent="0.35">
      <c r="A7" t="s">
        <v>73</v>
      </c>
      <c r="B7" t="s">
        <v>68</v>
      </c>
      <c r="C7" t="b">
        <v>0</v>
      </c>
    </row>
    <row r="8" spans="1:5" x14ac:dyDescent="0.35">
      <c r="A8" t="s">
        <v>223</v>
      </c>
      <c r="B8" t="s">
        <v>222</v>
      </c>
      <c r="C8" t="b">
        <v>0</v>
      </c>
    </row>
    <row r="9" spans="1:5" x14ac:dyDescent="0.35">
      <c r="A9" t="s">
        <v>199</v>
      </c>
      <c r="B9" t="s">
        <v>102</v>
      </c>
      <c r="C9" t="b">
        <v>0</v>
      </c>
    </row>
    <row r="10" spans="1:5" x14ac:dyDescent="0.35">
      <c r="A10" t="s">
        <v>512</v>
      </c>
      <c r="B10" t="s">
        <v>68</v>
      </c>
      <c r="C10" t="b">
        <v>0</v>
      </c>
      <c r="E10" t="s">
        <v>543</v>
      </c>
    </row>
    <row r="11" spans="1:5" x14ac:dyDescent="0.35">
      <c r="A11" t="s">
        <v>527</v>
      </c>
      <c r="B11" t="s">
        <v>68</v>
      </c>
      <c r="C11" t="b">
        <v>0</v>
      </c>
      <c r="E11" t="s">
        <v>543</v>
      </c>
    </row>
    <row r="12" spans="1:5" x14ac:dyDescent="0.35">
      <c r="A12" t="s">
        <v>518</v>
      </c>
      <c r="B12" t="s">
        <v>82</v>
      </c>
      <c r="C12" t="b">
        <v>0</v>
      </c>
      <c r="E12" t="s">
        <v>543</v>
      </c>
    </row>
    <row r="13" spans="1:5" x14ac:dyDescent="0.35">
      <c r="A13" t="s">
        <v>528</v>
      </c>
      <c r="B13" t="s">
        <v>82</v>
      </c>
      <c r="C13" t="b">
        <v>0</v>
      </c>
      <c r="E13" t="s">
        <v>543</v>
      </c>
    </row>
    <row r="14" spans="1:5" x14ac:dyDescent="0.35">
      <c r="A14" t="s">
        <v>519</v>
      </c>
      <c r="B14" t="s">
        <v>82</v>
      </c>
      <c r="C14" t="b">
        <v>0</v>
      </c>
      <c r="E14" t="s">
        <v>543</v>
      </c>
    </row>
    <row r="15" spans="1:5" x14ac:dyDescent="0.35">
      <c r="A15" t="s">
        <v>529</v>
      </c>
      <c r="B15" t="s">
        <v>82</v>
      </c>
      <c r="C15" t="b">
        <v>0</v>
      </c>
      <c r="E15" t="s">
        <v>543</v>
      </c>
    </row>
    <row r="16" spans="1:5" x14ac:dyDescent="0.35">
      <c r="A16" t="s">
        <v>92</v>
      </c>
      <c r="B16" s="14" t="s">
        <v>68</v>
      </c>
      <c r="C16" t="b">
        <v>0</v>
      </c>
    </row>
    <row r="17" spans="1:5" x14ac:dyDescent="0.35">
      <c r="A17" t="s">
        <v>97</v>
      </c>
      <c r="B17" s="14" t="s">
        <v>86</v>
      </c>
      <c r="C17" t="b">
        <v>1</v>
      </c>
    </row>
    <row r="18" spans="1:5" x14ac:dyDescent="0.35">
      <c r="A18" t="s">
        <v>162</v>
      </c>
      <c r="B18" t="s">
        <v>102</v>
      </c>
      <c r="C18" t="b">
        <v>0</v>
      </c>
    </row>
    <row r="19" spans="1:5" x14ac:dyDescent="0.35">
      <c r="A19" t="s">
        <v>167</v>
      </c>
      <c r="B19" t="s">
        <v>102</v>
      </c>
      <c r="C19" t="b">
        <v>0</v>
      </c>
    </row>
    <row r="20" spans="1:5" x14ac:dyDescent="0.35">
      <c r="A20" t="s">
        <v>272</v>
      </c>
      <c r="B20" t="s">
        <v>102</v>
      </c>
      <c r="C20" t="b">
        <v>0</v>
      </c>
    </row>
    <row r="21" spans="1:5" x14ac:dyDescent="0.35">
      <c r="A21" t="s">
        <v>48</v>
      </c>
      <c r="B21" t="s">
        <v>51</v>
      </c>
      <c r="C21" t="b">
        <v>0</v>
      </c>
    </row>
    <row r="22" spans="1:5" x14ac:dyDescent="0.35">
      <c r="A22" t="s">
        <v>367</v>
      </c>
      <c r="B22" t="s">
        <v>51</v>
      </c>
      <c r="C22" t="b">
        <v>0</v>
      </c>
    </row>
    <row r="23" spans="1:5" x14ac:dyDescent="0.35">
      <c r="A23" t="s">
        <v>253</v>
      </c>
      <c r="B23" t="s">
        <v>102</v>
      </c>
      <c r="C23" t="b">
        <v>0</v>
      </c>
    </row>
    <row r="24" spans="1:5" x14ac:dyDescent="0.35">
      <c r="A24" t="s">
        <v>269</v>
      </c>
      <c r="B24" t="s">
        <v>102</v>
      </c>
      <c r="C24" t="b">
        <v>0</v>
      </c>
    </row>
    <row r="25" spans="1:5" x14ac:dyDescent="0.35">
      <c r="A25" t="s">
        <v>141</v>
      </c>
      <c r="B25" t="s">
        <v>51</v>
      </c>
      <c r="C25" t="b">
        <v>0</v>
      </c>
    </row>
    <row r="26" spans="1:5" x14ac:dyDescent="0.35">
      <c r="A26" t="s">
        <v>148</v>
      </c>
      <c r="B26" t="s">
        <v>86</v>
      </c>
      <c r="C26" t="b">
        <v>1</v>
      </c>
    </row>
    <row r="27" spans="1:5" x14ac:dyDescent="0.35">
      <c r="A27" t="s">
        <v>389</v>
      </c>
      <c r="B27" t="s">
        <v>110</v>
      </c>
      <c r="C27" t="b">
        <v>0</v>
      </c>
    </row>
    <row r="28" spans="1:5" x14ac:dyDescent="0.35">
      <c r="A28" t="s">
        <v>521</v>
      </c>
      <c r="B28" t="s">
        <v>68</v>
      </c>
      <c r="C28" t="b">
        <v>1</v>
      </c>
      <c r="E28" t="s">
        <v>543</v>
      </c>
    </row>
    <row r="29" spans="1:5" x14ac:dyDescent="0.35">
      <c r="A29" t="s">
        <v>250</v>
      </c>
      <c r="B29" t="s">
        <v>102</v>
      </c>
      <c r="C29" t="b">
        <v>0</v>
      </c>
    </row>
    <row r="30" spans="1:5" x14ac:dyDescent="0.35">
      <c r="A30" t="s">
        <v>372</v>
      </c>
      <c r="B30" t="s">
        <v>371</v>
      </c>
      <c r="C30" t="b">
        <v>0</v>
      </c>
    </row>
    <row r="31" spans="1:5" x14ac:dyDescent="0.35">
      <c r="A31" t="s">
        <v>376</v>
      </c>
      <c r="B31" t="s">
        <v>45</v>
      </c>
      <c r="C31" t="b">
        <v>0</v>
      </c>
    </row>
    <row r="32" spans="1:5" x14ac:dyDescent="0.35">
      <c r="A32" t="s">
        <v>123</v>
      </c>
      <c r="B32" t="s">
        <v>82</v>
      </c>
      <c r="C32" t="b">
        <v>0</v>
      </c>
    </row>
    <row r="33" spans="1:3" x14ac:dyDescent="0.35">
      <c r="A33" t="s">
        <v>152</v>
      </c>
      <c r="B33" t="s">
        <v>82</v>
      </c>
      <c r="C33" t="b">
        <v>0</v>
      </c>
    </row>
    <row r="34" spans="1:3" x14ac:dyDescent="0.35">
      <c r="A34" t="s">
        <v>155</v>
      </c>
      <c r="B34" t="s">
        <v>82</v>
      </c>
      <c r="C34" t="b">
        <v>0</v>
      </c>
    </row>
    <row r="35" spans="1:3" x14ac:dyDescent="0.35">
      <c r="A35" t="s">
        <v>130</v>
      </c>
      <c r="B35" s="14" t="s">
        <v>86</v>
      </c>
      <c r="C35" t="b">
        <v>1</v>
      </c>
    </row>
    <row r="36" spans="1:3" x14ac:dyDescent="0.35">
      <c r="A36" t="s">
        <v>322</v>
      </c>
      <c r="B36" t="s">
        <v>45</v>
      </c>
      <c r="C36" t="b">
        <v>0</v>
      </c>
    </row>
    <row r="37" spans="1:3" x14ac:dyDescent="0.35">
      <c r="A37" t="s">
        <v>245</v>
      </c>
      <c r="B37" t="s">
        <v>51</v>
      </c>
      <c r="C37" t="b">
        <v>0</v>
      </c>
    </row>
    <row r="38" spans="1:3" x14ac:dyDescent="0.35">
      <c r="A38" t="s">
        <v>316</v>
      </c>
      <c r="B38" t="s">
        <v>102</v>
      </c>
      <c r="C38" t="b">
        <v>0</v>
      </c>
    </row>
    <row r="39" spans="1:3" x14ac:dyDescent="0.35">
      <c r="A39" t="s">
        <v>241</v>
      </c>
      <c r="B39" t="s">
        <v>102</v>
      </c>
      <c r="C39" t="b">
        <v>0</v>
      </c>
    </row>
    <row r="40" spans="1:3" x14ac:dyDescent="0.35">
      <c r="A40" t="s">
        <v>315</v>
      </c>
      <c r="B40" t="s">
        <v>68</v>
      </c>
      <c r="C40" t="b">
        <v>0</v>
      </c>
    </row>
    <row r="41" spans="1:3" x14ac:dyDescent="0.35">
      <c r="A41" t="s">
        <v>99</v>
      </c>
      <c r="B41" t="s">
        <v>68</v>
      </c>
      <c r="C41" t="b">
        <v>0</v>
      </c>
    </row>
    <row r="42" spans="1:3" x14ac:dyDescent="0.35">
      <c r="A42" t="s">
        <v>107</v>
      </c>
      <c r="B42" t="s">
        <v>68</v>
      </c>
      <c r="C42" t="b">
        <v>0</v>
      </c>
    </row>
    <row r="43" spans="1:3" x14ac:dyDescent="0.35">
      <c r="A43" t="s">
        <v>116</v>
      </c>
      <c r="B43" t="s">
        <v>68</v>
      </c>
      <c r="C43" t="b">
        <v>0</v>
      </c>
    </row>
    <row r="44" spans="1:3" x14ac:dyDescent="0.35">
      <c r="A44" t="s">
        <v>378</v>
      </c>
      <c r="B44" t="s">
        <v>82</v>
      </c>
      <c r="C44" t="b">
        <v>0</v>
      </c>
    </row>
    <row r="45" spans="1:3" x14ac:dyDescent="0.35">
      <c r="A45" t="s">
        <v>384</v>
      </c>
      <c r="B45" t="s">
        <v>45</v>
      </c>
      <c r="C45" t="b">
        <v>0</v>
      </c>
    </row>
    <row r="46" spans="1:3" x14ac:dyDescent="0.35">
      <c r="A46" t="s">
        <v>307</v>
      </c>
      <c r="B46" t="s">
        <v>68</v>
      </c>
      <c r="C46" t="b">
        <v>0</v>
      </c>
    </row>
    <row r="47" spans="1:3" x14ac:dyDescent="0.35">
      <c r="A47" t="s">
        <v>275</v>
      </c>
      <c r="B47" t="s">
        <v>68</v>
      </c>
      <c r="C47" t="b">
        <v>0</v>
      </c>
    </row>
    <row r="48" spans="1:3" x14ac:dyDescent="0.35">
      <c r="A48" t="s">
        <v>69</v>
      </c>
      <c r="B48" t="s">
        <v>68</v>
      </c>
      <c r="C48" t="b">
        <v>0</v>
      </c>
    </row>
    <row r="49" spans="1:3" x14ac:dyDescent="0.35">
      <c r="A49" t="s">
        <v>310</v>
      </c>
      <c r="B49" t="s">
        <v>102</v>
      </c>
      <c r="C49" t="b">
        <v>0</v>
      </c>
    </row>
    <row r="50" spans="1:3" x14ac:dyDescent="0.35">
      <c r="A50" t="s">
        <v>302</v>
      </c>
      <c r="B50" t="s">
        <v>102</v>
      </c>
      <c r="C50" t="b">
        <v>0</v>
      </c>
    </row>
    <row r="51" spans="1:3" x14ac:dyDescent="0.35">
      <c r="A51" t="s">
        <v>363</v>
      </c>
      <c r="B51" s="14" t="s">
        <v>68</v>
      </c>
      <c r="C51" t="b">
        <v>0</v>
      </c>
    </row>
    <row r="52" spans="1:3" x14ac:dyDescent="0.35">
      <c r="A52" t="s">
        <v>351</v>
      </c>
      <c r="B52" t="s">
        <v>82</v>
      </c>
      <c r="C52" t="b">
        <v>0</v>
      </c>
    </row>
    <row r="53" spans="1:3" x14ac:dyDescent="0.35">
      <c r="A53" t="s">
        <v>357</v>
      </c>
      <c r="B53" t="s">
        <v>82</v>
      </c>
      <c r="C53" t="b">
        <v>0</v>
      </c>
    </row>
    <row r="54" spans="1:3" x14ac:dyDescent="0.35">
      <c r="A54" t="s">
        <v>132</v>
      </c>
      <c r="B54" s="14" t="s">
        <v>82</v>
      </c>
      <c r="C54" t="b">
        <v>0</v>
      </c>
    </row>
    <row r="55" spans="1:3" x14ac:dyDescent="0.35">
      <c r="A55" t="s">
        <v>139</v>
      </c>
      <c r="B55" t="s">
        <v>86</v>
      </c>
      <c r="C55" t="b">
        <v>1</v>
      </c>
    </row>
    <row r="56" spans="1:3" x14ac:dyDescent="0.35">
      <c r="A56" t="s">
        <v>119</v>
      </c>
      <c r="B56" t="s">
        <v>82</v>
      </c>
      <c r="C56" t="b">
        <v>0</v>
      </c>
    </row>
    <row r="57" spans="1:3" x14ac:dyDescent="0.35">
      <c r="A57" t="s">
        <v>120</v>
      </c>
      <c r="B57" t="s">
        <v>86</v>
      </c>
      <c r="C57" t="b">
        <v>1</v>
      </c>
    </row>
    <row r="58" spans="1:3" x14ac:dyDescent="0.35">
      <c r="A58" t="s">
        <v>263</v>
      </c>
      <c r="B58" t="s">
        <v>102</v>
      </c>
      <c r="C58" t="b">
        <v>0</v>
      </c>
    </row>
    <row r="59" spans="1:3" x14ac:dyDescent="0.35">
      <c r="A59" t="s">
        <v>112</v>
      </c>
      <c r="B59" t="s">
        <v>110</v>
      </c>
      <c r="C59" t="b">
        <v>0</v>
      </c>
    </row>
    <row r="60" spans="1:3" x14ac:dyDescent="0.35">
      <c r="A60" t="s">
        <v>206</v>
      </c>
      <c r="B60" t="s">
        <v>102</v>
      </c>
      <c r="C60" t="b">
        <v>0</v>
      </c>
    </row>
    <row r="61" spans="1:3" x14ac:dyDescent="0.35">
      <c r="A61" t="s">
        <v>104</v>
      </c>
      <c r="B61" t="s">
        <v>102</v>
      </c>
      <c r="C61" t="b">
        <v>0</v>
      </c>
    </row>
    <row r="62" spans="1:3" x14ac:dyDescent="0.35">
      <c r="A62" t="s">
        <v>46</v>
      </c>
      <c r="B62" t="s">
        <v>45</v>
      </c>
      <c r="C62" t="b">
        <v>0</v>
      </c>
    </row>
    <row r="63" spans="1:3" x14ac:dyDescent="0.35">
      <c r="A63" t="s">
        <v>63</v>
      </c>
      <c r="B63" t="s">
        <v>55</v>
      </c>
      <c r="C63" t="b">
        <v>0</v>
      </c>
    </row>
    <row r="64" spans="1:3" x14ac:dyDescent="0.35">
      <c r="A64" t="s">
        <v>185</v>
      </c>
      <c r="B64" s="14" t="s">
        <v>110</v>
      </c>
      <c r="C64" t="b">
        <v>0</v>
      </c>
    </row>
    <row r="65" spans="1:3" x14ac:dyDescent="0.35">
      <c r="A65" t="s">
        <v>191</v>
      </c>
      <c r="B65" s="14" t="s">
        <v>110</v>
      </c>
      <c r="C65" t="b">
        <v>0</v>
      </c>
    </row>
    <row r="66" spans="1:3" x14ac:dyDescent="0.35">
      <c r="A66" t="s">
        <v>196</v>
      </c>
      <c r="B66" s="14" t="s">
        <v>110</v>
      </c>
      <c r="C66" t="b">
        <v>0</v>
      </c>
    </row>
    <row r="67" spans="1:3" x14ac:dyDescent="0.35">
      <c r="A67" t="s">
        <v>178</v>
      </c>
      <c r="B67" t="s">
        <v>82</v>
      </c>
      <c r="C67" t="b">
        <v>0</v>
      </c>
    </row>
    <row r="68" spans="1:3" x14ac:dyDescent="0.35">
      <c r="A68" t="s">
        <v>186</v>
      </c>
      <c r="B68" t="s">
        <v>82</v>
      </c>
      <c r="C68" t="b">
        <v>0</v>
      </c>
    </row>
    <row r="69" spans="1:3" x14ac:dyDescent="0.35">
      <c r="A69" t="s">
        <v>192</v>
      </c>
      <c r="B69" t="s">
        <v>82</v>
      </c>
      <c r="C69" t="b">
        <v>0</v>
      </c>
    </row>
    <row r="70" spans="1:3" x14ac:dyDescent="0.35">
      <c r="A70" t="s">
        <v>226</v>
      </c>
      <c r="B70" t="s">
        <v>68</v>
      </c>
      <c r="C70" t="b">
        <v>0</v>
      </c>
    </row>
    <row r="71" spans="1:3" x14ac:dyDescent="0.35">
      <c r="A71" t="s">
        <v>172</v>
      </c>
      <c r="B71" t="s">
        <v>102</v>
      </c>
      <c r="C71" s="5" t="b">
        <v>0</v>
      </c>
    </row>
    <row r="72" spans="1:3" x14ac:dyDescent="0.35">
      <c r="A72" t="s">
        <v>266</v>
      </c>
      <c r="B72" t="s">
        <v>102</v>
      </c>
      <c r="C72" t="b">
        <v>0</v>
      </c>
    </row>
    <row r="73" spans="1:3" x14ac:dyDescent="0.35">
      <c r="A73" t="s">
        <v>492</v>
      </c>
      <c r="B73" t="s">
        <v>102</v>
      </c>
      <c r="C73" t="b">
        <v>0</v>
      </c>
    </row>
    <row r="74" spans="1:3" x14ac:dyDescent="0.35">
      <c r="A74" t="s">
        <v>278</v>
      </c>
      <c r="B74" t="s">
        <v>102</v>
      </c>
      <c r="C74" t="b">
        <v>0</v>
      </c>
    </row>
    <row r="75" spans="1:3" x14ac:dyDescent="0.35">
      <c r="A75" t="s">
        <v>290</v>
      </c>
      <c r="B75" t="s">
        <v>102</v>
      </c>
      <c r="C75" t="b">
        <v>0</v>
      </c>
    </row>
    <row r="76" spans="1:3" x14ac:dyDescent="0.35">
      <c r="A76" t="s">
        <v>299</v>
      </c>
      <c r="B76" s="14" t="s">
        <v>222</v>
      </c>
      <c r="C76" t="b">
        <v>0</v>
      </c>
    </row>
    <row r="77" spans="1:3" x14ac:dyDescent="0.35">
      <c r="A77" t="s">
        <v>493</v>
      </c>
      <c r="B77" t="s">
        <v>86</v>
      </c>
      <c r="C77" t="b">
        <v>0</v>
      </c>
    </row>
    <row r="78" spans="1:3" x14ac:dyDescent="0.35">
      <c r="A78" t="s">
        <v>283</v>
      </c>
      <c r="B78" t="s">
        <v>86</v>
      </c>
      <c r="C78" t="b">
        <v>0</v>
      </c>
    </row>
    <row r="79" spans="1:3" x14ac:dyDescent="0.35">
      <c r="A79" t="s">
        <v>294</v>
      </c>
      <c r="B79" t="s">
        <v>86</v>
      </c>
      <c r="C79" t="b">
        <v>0</v>
      </c>
    </row>
    <row r="80" spans="1:3" x14ac:dyDescent="0.35">
      <c r="A80" t="s">
        <v>494</v>
      </c>
      <c r="B80" t="s">
        <v>68</v>
      </c>
      <c r="C80" t="b">
        <v>0</v>
      </c>
    </row>
    <row r="81" spans="1:4" x14ac:dyDescent="0.35">
      <c r="A81" t="s">
        <v>287</v>
      </c>
      <c r="B81" t="s">
        <v>68</v>
      </c>
      <c r="C81" t="b">
        <v>0</v>
      </c>
    </row>
    <row r="82" spans="1:4" x14ac:dyDescent="0.35">
      <c r="A82" t="s">
        <v>298</v>
      </c>
      <c r="B82" t="s">
        <v>68</v>
      </c>
      <c r="C82" t="b">
        <v>0</v>
      </c>
    </row>
    <row r="83" spans="1:4" x14ac:dyDescent="0.35">
      <c r="A83" t="s">
        <v>211</v>
      </c>
      <c r="B83" t="s">
        <v>102</v>
      </c>
      <c r="C83" t="b">
        <v>0</v>
      </c>
    </row>
    <row r="84" spans="1:4" x14ac:dyDescent="0.35">
      <c r="A84" t="s">
        <v>256</v>
      </c>
      <c r="B84" t="s">
        <v>102</v>
      </c>
      <c r="C84" t="b">
        <v>0</v>
      </c>
    </row>
    <row r="85" spans="1:4" x14ac:dyDescent="0.35">
      <c r="B85" s="14"/>
    </row>
    <row r="86" spans="1:4" x14ac:dyDescent="0.35">
      <c r="A86" t="s">
        <v>495</v>
      </c>
      <c r="B86" s="14" t="s">
        <v>102</v>
      </c>
      <c r="C86" t="b">
        <v>1</v>
      </c>
      <c r="D86" t="s">
        <v>496</v>
      </c>
    </row>
    <row r="87" spans="1:4" x14ac:dyDescent="0.35">
      <c r="A87" t="s">
        <v>497</v>
      </c>
      <c r="B87" s="14" t="s">
        <v>102</v>
      </c>
      <c r="C87" t="b">
        <v>1</v>
      </c>
    </row>
    <row r="88" spans="1:4" x14ac:dyDescent="0.35">
      <c r="A88" t="s">
        <v>498</v>
      </c>
      <c r="B88" s="14" t="s">
        <v>102</v>
      </c>
      <c r="C88" t="b">
        <v>1</v>
      </c>
      <c r="D88" t="s">
        <v>432</v>
      </c>
    </row>
    <row r="89" spans="1:4" x14ac:dyDescent="0.35">
      <c r="A89" t="s">
        <v>499</v>
      </c>
      <c r="B89" s="14" t="s">
        <v>102</v>
      </c>
      <c r="C89" t="b">
        <v>1</v>
      </c>
      <c r="D89" t="s">
        <v>432</v>
      </c>
    </row>
    <row r="90" spans="1:4" x14ac:dyDescent="0.35">
      <c r="A90" t="s">
        <v>260</v>
      </c>
      <c r="B90" t="s">
        <v>51</v>
      </c>
      <c r="C90" t="b">
        <v>0</v>
      </c>
      <c r="D90" t="s">
        <v>432</v>
      </c>
    </row>
    <row r="91" spans="1:4" x14ac:dyDescent="0.35">
      <c r="B91" s="14"/>
    </row>
    <row r="92" spans="1:4" x14ac:dyDescent="0.35">
      <c r="A92" t="s">
        <v>216</v>
      </c>
      <c r="B92" s="14" t="s">
        <v>102</v>
      </c>
      <c r="C92" t="b">
        <v>0</v>
      </c>
    </row>
    <row r="93" spans="1:4" x14ac:dyDescent="0.35">
      <c r="A93" t="s">
        <v>219</v>
      </c>
      <c r="B93" s="14" t="s">
        <v>102</v>
      </c>
      <c r="C93" t="b">
        <v>0</v>
      </c>
    </row>
    <row r="94" spans="1:4" x14ac:dyDescent="0.35">
      <c r="A94" t="s">
        <v>507</v>
      </c>
      <c r="B94" t="s">
        <v>82</v>
      </c>
      <c r="C94" t="b">
        <v>0</v>
      </c>
      <c r="D94" t="s">
        <v>543</v>
      </c>
    </row>
    <row r="95" spans="1:4" x14ac:dyDescent="0.35">
      <c r="B95" s="14"/>
    </row>
    <row r="96" spans="1:4" x14ac:dyDescent="0.35">
      <c r="B96" s="14"/>
    </row>
    <row r="97" spans="2:2" x14ac:dyDescent="0.35">
      <c r="B97" s="14"/>
    </row>
    <row r="98" spans="2:2" x14ac:dyDescent="0.35">
      <c r="B98" s="14"/>
    </row>
    <row r="99" spans="2:2" x14ac:dyDescent="0.35">
      <c r="B99" s="14"/>
    </row>
    <row r="100" spans="2:2" x14ac:dyDescent="0.35">
      <c r="B100" s="14"/>
    </row>
    <row r="101" spans="2:2" x14ac:dyDescent="0.35">
      <c r="B101" s="14"/>
    </row>
    <row r="102" spans="2:2" x14ac:dyDescent="0.35">
      <c r="B102" s="14"/>
    </row>
    <row r="103" spans="2:2" x14ac:dyDescent="0.35">
      <c r="B103" s="14"/>
    </row>
    <row r="104" spans="2:2" x14ac:dyDescent="0.35">
      <c r="B104" s="14"/>
    </row>
    <row r="105" spans="2:2" x14ac:dyDescent="0.35">
      <c r="B105" s="14"/>
    </row>
    <row r="106" spans="2:2" x14ac:dyDescent="0.35">
      <c r="B106" s="14"/>
    </row>
    <row r="107" spans="2:2" x14ac:dyDescent="0.35">
      <c r="B107" s="14"/>
    </row>
    <row r="108" spans="2:2" x14ac:dyDescent="0.35">
      <c r="B108" s="14"/>
    </row>
    <row r="109" spans="2:2" x14ac:dyDescent="0.35">
      <c r="B109" s="14"/>
    </row>
    <row r="110" spans="2:2" x14ac:dyDescent="0.35">
      <c r="B110" s="14"/>
    </row>
    <row r="111" spans="2:2" x14ac:dyDescent="0.35">
      <c r="B111" s="14"/>
    </row>
    <row r="112" spans="2:2" x14ac:dyDescent="0.35">
      <c r="B112" s="14"/>
    </row>
    <row r="113" spans="2:2" x14ac:dyDescent="0.35">
      <c r="B113" s="14"/>
    </row>
    <row r="114" spans="2:2" x14ac:dyDescent="0.35">
      <c r="B114" s="14"/>
    </row>
    <row r="115" spans="2:2" x14ac:dyDescent="0.35">
      <c r="B115" s="14"/>
    </row>
    <row r="116" spans="2:2" x14ac:dyDescent="0.35">
      <c r="B116" s="14"/>
    </row>
    <row r="117" spans="2:2" x14ac:dyDescent="0.35">
      <c r="B117" s="14"/>
    </row>
    <row r="118" spans="2:2" x14ac:dyDescent="0.35">
      <c r="B118" s="14"/>
    </row>
    <row r="119" spans="2:2" x14ac:dyDescent="0.35">
      <c r="B119" s="14"/>
    </row>
    <row r="120" spans="2:2" x14ac:dyDescent="0.35">
      <c r="B120" s="14"/>
    </row>
    <row r="121" spans="2:2" x14ac:dyDescent="0.35">
      <c r="B121" s="14"/>
    </row>
    <row r="122" spans="2:2" x14ac:dyDescent="0.35">
      <c r="B122" s="14"/>
    </row>
    <row r="123" spans="2:2" x14ac:dyDescent="0.35">
      <c r="B123" s="14"/>
    </row>
    <row r="124" spans="2:2" x14ac:dyDescent="0.35">
      <c r="B124" s="14"/>
    </row>
    <row r="125" spans="2:2" x14ac:dyDescent="0.35">
      <c r="B125" s="14"/>
    </row>
    <row r="126" spans="2:2" x14ac:dyDescent="0.35">
      <c r="B126" s="14"/>
    </row>
    <row r="127" spans="2:2" x14ac:dyDescent="0.35">
      <c r="B127" s="14"/>
    </row>
    <row r="128" spans="2:2" x14ac:dyDescent="0.35">
      <c r="B128" s="14"/>
    </row>
    <row r="129" spans="2:2" x14ac:dyDescent="0.35">
      <c r="B129" s="14"/>
    </row>
    <row r="130" spans="2:2" x14ac:dyDescent="0.35">
      <c r="B130" s="14"/>
    </row>
    <row r="131" spans="2:2" x14ac:dyDescent="0.35">
      <c r="B131" s="14"/>
    </row>
  </sheetData>
  <sortState xmlns:xlrd2="http://schemas.microsoft.com/office/spreadsheetml/2017/richdata2" ref="A2:C84">
    <sortCondition ref="A2"/>
  </sortState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survey</vt:lpstr>
      <vt:lpstr>inc</vt:lpstr>
      <vt:lpstr>choices</vt:lpstr>
      <vt:lpstr>calculates</vt:lpstr>
      <vt:lpstr>queries</vt:lpstr>
      <vt:lpstr>prompt_types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Ane Fisker</dc:creator>
  <cp:lastModifiedBy>Ane Fisker</cp:lastModifiedBy>
  <cp:revision>3</cp:revision>
  <dcterms:created xsi:type="dcterms:W3CDTF">2015-06-05T18:19:34Z</dcterms:created>
  <dcterms:modified xsi:type="dcterms:W3CDTF">2026-06-12T15:11:09Z</dcterms:modified>
</cp:coreProperties>
</file>