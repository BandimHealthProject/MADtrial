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4"/>
  </bookViews>
  <sheets>
    <sheet name="settings" sheetId="1" state="visible" r:id="rId1"/>
    <sheet name="survey" sheetId="2" state="visible" r:id="rId2"/>
    <sheet name="FU" sheetId="3" state="visible" r:id="rId3"/>
    <sheet name="queries" sheetId="4" state="visible" r:id="rId4"/>
    <sheet name="choices" sheetId="5" state="visible" r:id="rId5"/>
    <sheet name="calculates" sheetId="6" state="visible" r:id="rId6"/>
    <sheet name="prompt_types" sheetId="7" state="visible" r:id="rId7"/>
    <sheet name="model" sheetId="8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<sst xmlns="http://schemas.openxmlformats.org/spreadsheetml/2006/main" count="437" uniqueCount="437">
  <si>
    <t>setting_name</t>
  </si>
  <si>
    <t>value</t>
  </si>
  <si>
    <t>display.title.text.english</t>
  </si>
  <si>
    <t>display.title.text</t>
  </si>
  <si>
    <t>display.locale.text.english</t>
  </si>
  <si>
    <t>display.locale.text</t>
  </si>
  <si>
    <t>form_id</t>
  </si>
  <si>
    <t>MADTRIAL_FU_PHONE</t>
  </si>
  <si>
    <t>form_version</t>
  </si>
  <si>
    <t>table_id</t>
  </si>
  <si>
    <t>survey</t>
  </si>
  <si>
    <t xml:space="preserve">MADtrial - Follow-up Phone</t>
  </si>
  <si>
    <t xml:space="preserve">MADtrial - Seguimento Telemovel</t>
  </si>
  <si>
    <t>default</t>
  </si>
  <si>
    <t>Portuguese</t>
  </si>
  <si>
    <t>Português</t>
  </si>
  <si>
    <t>english</t>
  </si>
  <si>
    <t>English</t>
  </si>
  <si>
    <t>Inglês</t>
  </si>
  <si>
    <t>font-size</t>
  </si>
  <si>
    <t>20pt</t>
  </si>
  <si>
    <t>branch_label</t>
  </si>
  <si>
    <t>clause</t>
  </si>
  <si>
    <t>condition</t>
  </si>
  <si>
    <t>type</t>
  </si>
  <si>
    <t>values_list</t>
  </si>
  <si>
    <t>name</t>
  </si>
  <si>
    <t>display.prompt.text.english</t>
  </si>
  <si>
    <t>display.prompt.text</t>
  </si>
  <si>
    <t>calculation</t>
  </si>
  <si>
    <t>display.hint.text.english</t>
  </si>
  <si>
    <t>display.hint.text</t>
  </si>
  <si>
    <t>display.adate.helperText</t>
  </si>
  <si>
    <t xml:space="preserve">3rd try</t>
  </si>
  <si>
    <t>if</t>
  </si>
  <si>
    <t xml:space="preserve">(data('CHAMADA12') != null || data('CHAMADA22') != null || data('CHAMADA32') != null) &amp;&amp; data('DATSEGUI2') != null</t>
  </si>
  <si>
    <t xml:space="preserve">begin screen</t>
  </si>
  <si>
    <t>assign</t>
  </si>
  <si>
    <t>START</t>
  </si>
  <si>
    <t>now()</t>
  </si>
  <si>
    <t>select_one_with_other</t>
  </si>
  <si>
    <t>ass</t>
  </si>
  <si>
    <t>ASSISTENTE3</t>
  </si>
  <si>
    <t>Assistant</t>
  </si>
  <si>
    <t>Assistente</t>
  </si>
  <si>
    <t>DATSEGUI3</t>
  </si>
  <si>
    <t>adate.today()</t>
  </si>
  <si>
    <t>adate</t>
  </si>
  <si>
    <t xml:space="preserve">Date of call</t>
  </si>
  <si>
    <t xml:space="preserve">Data da ligação</t>
  </si>
  <si>
    <t xml:space="preserve">end screen</t>
  </si>
  <si>
    <t xml:space="preserve">end if</t>
  </si>
  <si>
    <t xml:space="preserve">2nd try</t>
  </si>
  <si>
    <t xml:space="preserve">(data('CHAMADA11') != null || data('CHAMADA21') != null || data('CHAMADA31') != null) &amp;&amp; data('CHAMADA13') == null &amp;&amp; data('CHAMADA23') == null &amp;&amp; data('CHAMADA33') == null &amp;&amp; data('DATSEGUI1') != null &amp;&amp; data('DATSEGUI3') == null</t>
  </si>
  <si>
    <t>ASSISTENTE2</t>
  </si>
  <si>
    <t>DATSEGUI2</t>
  </si>
  <si>
    <t xml:space="preserve">1st try</t>
  </si>
  <si>
    <t xml:space="preserve">data('CHAMADA11') == null &amp;&amp; data('CHAMADA21') == null &amp;&amp; data('CHAMADA31') == null &amp;&amp; data('CHAMADA12') == null &amp;&amp; data('CHAMADA22') == null &amp;&amp; data('CHAMADA32') == null &amp;&amp; data('CHAMADA13') == null &amp;&amp; data('CHAMADA23') == null &amp;&amp; data('CHAMADA33') == null</t>
  </si>
  <si>
    <t>ASSISTENTE1</t>
  </si>
  <si>
    <t>DATSEGUI1</t>
  </si>
  <si>
    <t xml:space="preserve">(data('CHAMADA11') != null || data('CHAMADA21') != null || data('CHAMADA31') != null) &amp;&amp; (data('CHAMADA12') != null || data('CHAMADA22') != null || data('CHAMADA32') != null)  &amp;&amp; data('DATSEGUI2') != data('DATSEGUI3') &amp;&amp; data('DATSEGUI2') != null</t>
  </si>
  <si>
    <t>select_one</t>
  </si>
  <si>
    <t>cham</t>
  </si>
  <si>
    <t>CHAMADA13</t>
  </si>
  <si>
    <t xml:space="preserve">1st call - number: &lt;b&gt;{{data.TELEMOVEL1}}&lt;/b&gt;
Relation: &lt;b&gt;{{calculates.relation1}}&lt;/b&gt;</t>
  </si>
  <si>
    <t xml:space="preserve">1ª chamada - número: &lt;b&gt;{{data.TELEMOVEL1}}&lt;/b&gt; &lt;br /&gt;
Relação: &lt;b&gt;{{calculates.relationPU1}}&lt;/b&gt;</t>
  </si>
  <si>
    <t xml:space="preserve">If you cannot get information on the first call, call each number three times</t>
  </si>
  <si>
    <t xml:space="preserve">Se você não consegue obter informação na primeira chamada, liga cada número tres vezes</t>
  </si>
  <si>
    <t xml:space="preserve">data('CHAMADA11') == '4' || data('CHAMADA12') == '4'</t>
  </si>
  <si>
    <t>note</t>
  </si>
  <si>
    <t xml:space="preserve">&lt;font color = "red"&gt;Previous calls said this number is incorrect &lt;/font&gt;</t>
  </si>
  <si>
    <t xml:space="preserve">&lt;font color = "red"&gt;As chamadas anteriores informaram que este número está incorreto &lt;/font&gt;</t>
  </si>
  <si>
    <t xml:space="preserve">Name: &lt;b&gt;{{data.NOMECRI}}&lt;/b&gt;</t>
  </si>
  <si>
    <t xml:space="preserve">Nome: &lt;b&gt;{{data.NOMECRI}}&lt;/b&gt;</t>
  </si>
  <si>
    <t xml:space="preserve">data('SEX') =='1'</t>
  </si>
  <si>
    <t xml:space="preserve">Sex: &lt;b&gt;Male&lt;/b&gt;</t>
  </si>
  <si>
    <t xml:space="preserve">Sexo: &lt;b&gt;Masculino&lt;/b&gt;</t>
  </si>
  <si>
    <t>else</t>
  </si>
  <si>
    <t xml:space="preserve">Sex: &lt;b&gt;Female&lt;/b&gt;</t>
  </si>
  <si>
    <t xml:space="preserve">Sexo: &lt;b&gt;Feminino&lt;/b&gt;</t>
  </si>
  <si>
    <t xml:space="preserve">data('DOB') == 'D:NS,M:NS,Y:NS'</t>
  </si>
  <si>
    <t xml:space="preserve">Age: &lt;b&gt;{{data.IDADEANO}}&lt;/b&gt; year(s), &lt;b&gt;{{data.IDADEMES}}&lt;/b&gt; month(s)</t>
  </si>
  <si>
    <t xml:space="preserve">Idade: &lt;b&gt;{{data.IDADEANO}}&lt;/b&gt; ano(s), &lt;b&gt;{{data.IDADEMES}}&lt;/b&gt; mes(es) </t>
  </si>
  <si>
    <t xml:space="preserve">Birthdate: &lt;b&gt;{{calculates.displayDOB}}&lt;/b&gt;</t>
  </si>
  <si>
    <t xml:space="preserve">Data de nascimento: &lt;b&gt;{{calculates.displayDOB}}&lt;/b&gt;</t>
  </si>
  <si>
    <t xml:space="preserve">Inclusion: &lt;b&gt;{{calculates.displayDATINC}}&lt;/b&gt;</t>
  </si>
  <si>
    <t xml:space="preserve">Inclusão: &lt;b&gt;{{calculates.displayDATINC}}&lt;/b&gt;</t>
  </si>
  <si>
    <t xml:space="preserve">Name of mother: &lt;b&gt;{{data.NOMEMAE}}&lt;/b&gt;</t>
  </si>
  <si>
    <t xml:space="preserve">Nome da mãe: &lt;b&gt;{{data.NOMEMAE}}&lt;/b&gt;</t>
  </si>
  <si>
    <t xml:space="preserve">Study no.: &lt;b&gt;{{data.NUMEST}}&lt;/b&gt;</t>
  </si>
  <si>
    <t xml:space="preserve">Estudo nº: &lt;b&gt;{{data.NUMEST}}&lt;/b&gt;</t>
  </si>
  <si>
    <t>datsegui</t>
  </si>
  <si>
    <t>data('DATSEGUI3')</t>
  </si>
  <si>
    <t xml:space="preserve">data('CHAMADA13') != '1'</t>
  </si>
  <si>
    <t xml:space="preserve">data('TELEINF2') == '3'</t>
  </si>
  <si>
    <t xml:space="preserve">2nd call - number: &lt;b&gt;Don't have&lt;/b&gt;</t>
  </si>
  <si>
    <t xml:space="preserve">2ª chamada - número: &lt;b&gt;Não tem&lt;/b&gt; </t>
  </si>
  <si>
    <t>CHAMADA23</t>
  </si>
  <si>
    <t xml:space="preserve">2nd call - number: &lt;b&gt;{{data.TELEMOVEL2}}&lt;/b&gt;
Relation: &lt;b&gt;{{calculates.relation2}}&lt;/b&gt;</t>
  </si>
  <si>
    <t xml:space="preserve">2ª chamada - número: &lt;b&gt;{{data.TELEMOVEL2}}&lt;/b&gt; &lt;br /&gt;
Relação: &lt;b&gt;{{calculates.relationPU2}}&lt;/b&gt;</t>
  </si>
  <si>
    <t xml:space="preserve">data('CHAMADA21') == '4' || data('CHAMADA22') == '4'</t>
  </si>
  <si>
    <t xml:space="preserve">data('CHAMADA23') != '1'</t>
  </si>
  <si>
    <t xml:space="preserve">data('TELEINF3') == '3'</t>
  </si>
  <si>
    <t xml:space="preserve">3rd call - number: &lt;b&gt;Don't have&lt;/b&gt;</t>
  </si>
  <si>
    <t xml:space="preserve">3ª chamada - número: &lt;b&gt;Não tem&lt;/b&gt; </t>
  </si>
  <si>
    <t>CHAMADA33</t>
  </si>
  <si>
    <t xml:space="preserve">3rd call - number: &lt;b&gt;{{data.TELEMOVEL3}}&lt;/b&gt;
Relation: &lt;b&gt;{{calculates.relation3}}&lt;/b&gt;</t>
  </si>
  <si>
    <t xml:space="preserve">3ª chamada - número: &lt;b&gt;{{data.TELEMOVEL3}}&lt;/b&gt; &lt;br /&gt;
Relação: &lt;b&gt;{{calculates.relationPU3}}&lt;/b&gt;</t>
  </si>
  <si>
    <t xml:space="preserve">data('CHAMADA31') == '4' || data('CHAMADA32') == '4'</t>
  </si>
  <si>
    <t xml:space="preserve">((data('CHAMADA11') != null || data('CHAMADA21') != null || data('CHAMADA31') != null) &amp;&amp; data('CHAMADA13') == null &amp;&amp; data('CHAMADA23') == null &amp;&amp; data('CHAMADA33') == null &amp;&amp; data('DATSEGUI2') != data('DATSEGUI1')) ||  (data('DATSEGUI3') == data('DATSEGUI2') &amp;&amp; data('DATSEGUI3') != null)</t>
  </si>
  <si>
    <t>CHAMADA12</t>
  </si>
  <si>
    <t xml:space="preserve">data('CHAMADA11') == '4'</t>
  </si>
  <si>
    <t>data('DATSEGUI2')</t>
  </si>
  <si>
    <t xml:space="preserve">data('CHAMADA12') != '1'</t>
  </si>
  <si>
    <t>CHAMADA22</t>
  </si>
  <si>
    <t xml:space="preserve">data('CHAMADA21') == '4'</t>
  </si>
  <si>
    <t xml:space="preserve">data('CHAMADA22') != '1'</t>
  </si>
  <si>
    <t>CHAMADA32</t>
  </si>
  <si>
    <t xml:space="preserve">data('CHAMADA31') == '4'</t>
  </si>
  <si>
    <t xml:space="preserve">data('CHAMADA12') == null &amp;&amp; data('CHAMADA22') == null &amp;&amp; data('CHAMADA32') == null &amp;&amp; data('CHAMADA13') == null &amp;&amp; data('CHAMADA23') == null &amp;&amp; data('CHAMADA33') == null || (data('DATSEGUI3') == data('DATSEGUI1')) || (data('DATSEGUI2') == data('DATSEGUI1'))</t>
  </si>
  <si>
    <t>CHAMADA11</t>
  </si>
  <si>
    <t xml:space="preserve">data('chamada1') == '4'</t>
  </si>
  <si>
    <t>data('DATSEGUI1')</t>
  </si>
  <si>
    <t xml:space="preserve">data('CHAMADA11') != '1'</t>
  </si>
  <si>
    <t>CHAMADA21</t>
  </si>
  <si>
    <t xml:space="preserve">data('chamada2') == '4'</t>
  </si>
  <si>
    <t xml:space="preserve">data('CHAMADA21') != '1'</t>
  </si>
  <si>
    <t>CHAMADA31</t>
  </si>
  <si>
    <t xml:space="preserve">data('chamada3') == '4'</t>
  </si>
  <si>
    <t xml:space="preserve">data('CHAMADA11') == '1' || data('CHAMADA21') == '1' || data('CHAMADA31') == '1' || data('CHAMADA12') == '1' || data('CHAMADA22') == '1' || data('CHAMADA32') == '1' ||data('CHAMADA13') == '1' || data('CHAMADA23') == '1' || data('CHAMADA33') == '1'</t>
  </si>
  <si>
    <t xml:space="preserve">do section FU</t>
  </si>
  <si>
    <t>constraint</t>
  </si>
  <si>
    <t>display.constraint_message.text.english</t>
  </si>
  <si>
    <t>display.constraint_message.text</t>
  </si>
  <si>
    <t>choice_filter</t>
  </si>
  <si>
    <t>inf</t>
  </si>
  <si>
    <t>INFORMADOR</t>
  </si>
  <si>
    <t>Informant</t>
  </si>
  <si>
    <t>Informador</t>
  </si>
  <si>
    <t>sim/nao/naosabe</t>
  </si>
  <si>
    <t>VITALCRI</t>
  </si>
  <si>
    <t xml:space="preserve">Is the child still alive?</t>
  </si>
  <si>
    <t xml:space="preserve">A criança ainda está viva?</t>
  </si>
  <si>
    <t>data('VITALCRI')=="2"</t>
  </si>
  <si>
    <t>DOD</t>
  </si>
  <si>
    <t xml:space="preserve">Date of death</t>
  </si>
  <si>
    <t xml:space="preserve">Data do falecimento</t>
  </si>
  <si>
    <t xml:space="preserve">adate.diffInDays(data('datsegui'), data('DOD'))&lt;1 || adate.hasUncertainty(data('DOD'))</t>
  </si>
  <si>
    <t xml:space="preserve">The date cannot be in the future:</t>
  </si>
  <si>
    <t xml:space="preserve">A data não pode estar no futuro:</t>
  </si>
  <si>
    <t>select_multiple</t>
  </si>
  <si>
    <t>ns</t>
  </si>
  <si>
    <t>dodns</t>
  </si>
  <si>
    <t xml:space="preserve">data('dodns') != null</t>
  </si>
  <si>
    <t>"D:NS,M:NS,Y:NS"</t>
  </si>
  <si>
    <t>data('DOD')=="D:NS,M:NS,Y:NS"</t>
  </si>
  <si>
    <t>integer</t>
  </si>
  <si>
    <t>DODANO</t>
  </si>
  <si>
    <t xml:space="preserve">Age year(s)</t>
  </si>
  <si>
    <t xml:space="preserve">Idade - ano(s)</t>
  </si>
  <si>
    <t>DODMES</t>
  </si>
  <si>
    <t xml:space="preserve">Age - month(s)</t>
  </si>
  <si>
    <t xml:space="preserve">Idade - mes(es)</t>
  </si>
  <si>
    <t xml:space="preserve">data('IDADEMES')&lt;13 || data('DOB')!="D:NS,M:NS,Y:NS"</t>
  </si>
  <si>
    <t xml:space="preserve">Must be less than 13:</t>
  </si>
  <si>
    <t xml:space="preserve">Deve ser menor que 13:</t>
  </si>
  <si>
    <t xml:space="preserve">begin screen </t>
  </si>
  <si>
    <t xml:space="preserve">Last visit: &lt;b&gt;{{calculates.displayLASTFUSUC}}&lt;/b&gt;</t>
  </si>
  <si>
    <t xml:space="preserve">Última visita: &lt;b&gt;{{calculates.displayLASTFUSUC}}&lt;/b&gt;</t>
  </si>
  <si>
    <t xml:space="preserve">select_one </t>
  </si>
  <si>
    <t>DIARREIA</t>
  </si>
  <si>
    <t xml:space="preserve">Has the chil had diarrhoea?</t>
  </si>
  <si>
    <t xml:space="preserve">A criança teve diarréia?</t>
  </si>
  <si>
    <t>data('DIARREIA')=='1'</t>
  </si>
  <si>
    <t>dias_csv</t>
  </si>
  <si>
    <t>DIARREIDIA</t>
  </si>
  <si>
    <t xml:space="preserve">On which day?</t>
  </si>
  <si>
    <t xml:space="preserve">Em qual dia?</t>
  </si>
  <si>
    <t xml:space="preserve">choice_item.INTERVAL == data('interval')</t>
  </si>
  <si>
    <t>VOMITO</t>
  </si>
  <si>
    <t xml:space="preserve">Has the child been vomiting?</t>
  </si>
  <si>
    <t xml:space="preserve">A criança vomitou?</t>
  </si>
  <si>
    <t>data('VOMITO')=='1'</t>
  </si>
  <si>
    <t>VOMITODIA</t>
  </si>
  <si>
    <t>TOSSE</t>
  </si>
  <si>
    <t xml:space="preserve">Has the child been coughing?</t>
  </si>
  <si>
    <t xml:space="preserve">A criança teve tosse?</t>
  </si>
  <si>
    <t>data('TOSSE')=='1'</t>
  </si>
  <si>
    <t xml:space="preserve">select_multiple </t>
  </si>
  <si>
    <t>TOSSEDIA</t>
  </si>
  <si>
    <t>CONSTIP</t>
  </si>
  <si>
    <t xml:space="preserve">Does the child have a cold?</t>
  </si>
  <si>
    <t xml:space="preserve">A criança está com constipação?</t>
  </si>
  <si>
    <t>data('CONSTIP')=='1'</t>
  </si>
  <si>
    <t>CONSTIPDIA</t>
  </si>
  <si>
    <t>PERAPPE</t>
  </si>
  <si>
    <t xml:space="preserve">Has the child lost ist appetite?</t>
  </si>
  <si>
    <t xml:space="preserve">A criança perdeu o seu apetite?</t>
  </si>
  <si>
    <t>data('PERAPPE')=='1'</t>
  </si>
  <si>
    <t>PERAPPEDIA</t>
  </si>
  <si>
    <t>CHOROU</t>
  </si>
  <si>
    <t xml:space="preserve">Has the child cried more than habitual?</t>
  </si>
  <si>
    <t xml:space="preserve">A criança chorou mais do que o habitual?</t>
  </si>
  <si>
    <t>data('CHOROU')=='1'</t>
  </si>
  <si>
    <t>CHOROUDIA</t>
  </si>
  <si>
    <t>FEBRE</t>
  </si>
  <si>
    <t xml:space="preserve">Has the child had fever?</t>
  </si>
  <si>
    <t xml:space="preserve">A criança teve febre?</t>
  </si>
  <si>
    <t>data('FEBRE')=='1'</t>
  </si>
  <si>
    <t>FEBREDIA</t>
  </si>
  <si>
    <t>CONVULSAO</t>
  </si>
  <si>
    <t xml:space="preserve">Has the child had convulsions?</t>
  </si>
  <si>
    <t xml:space="preserve">A criança teve convulsões (desmaio)?</t>
  </si>
  <si>
    <t>data('CONVULSAO')=='1'</t>
  </si>
  <si>
    <t>CONVULSAODIA</t>
  </si>
  <si>
    <t>OUTROSIMP</t>
  </si>
  <si>
    <t xml:space="preserve">Has the child had other symptoms?</t>
  </si>
  <si>
    <t xml:space="preserve">A criança teve outras sintomas?</t>
  </si>
  <si>
    <t>data('OUTROSIMP')=='1'</t>
  </si>
  <si>
    <t>text</t>
  </si>
  <si>
    <t>SIMPQUAL</t>
  </si>
  <si>
    <t xml:space="preserve">Which symptoms?</t>
  </si>
  <si>
    <t xml:space="preserve">Quais sintomas?</t>
  </si>
  <si>
    <t>OUTROSIMPDIA</t>
  </si>
  <si>
    <t>CONSULTA</t>
  </si>
  <si>
    <t xml:space="preserve">Has the child been brought for consultation?</t>
  </si>
  <si>
    <t xml:space="preserve">A criança foi levada para consulta?</t>
  </si>
  <si>
    <t>data('CONSULTA')=='1'</t>
  </si>
  <si>
    <t>CONSULTADIA</t>
  </si>
  <si>
    <t>CONSCAUSA</t>
  </si>
  <si>
    <t xml:space="preserve">What was the cause of consultation?</t>
  </si>
  <si>
    <t xml:space="preserve">Qual foi a causa da consulta?</t>
  </si>
  <si>
    <t>sim/nao</t>
  </si>
  <si>
    <t>CONSDOC</t>
  </si>
  <si>
    <t xml:space="preserve">Can the mother show any documentation?</t>
  </si>
  <si>
    <t xml:space="preserve">A mãe pode mostrar alguma documentação?</t>
  </si>
  <si>
    <t>MEDICIN</t>
  </si>
  <si>
    <t xml:space="preserve">Has the child received medicine?</t>
  </si>
  <si>
    <t xml:space="preserve">A criança recebeu medicamentos?</t>
  </si>
  <si>
    <t>data('MEDICIN')=='1'</t>
  </si>
  <si>
    <t>MEDICINDIA</t>
  </si>
  <si>
    <t>tratament</t>
  </si>
  <si>
    <t>MEDICIN_Q</t>
  </si>
  <si>
    <t xml:space="preserve">What treatments were given ?</t>
  </si>
  <si>
    <t xml:space="preserve">Qual tratamento foi dado?</t>
  </si>
  <si>
    <t>selected(data('MEDICIN_Q'),'77')</t>
  </si>
  <si>
    <t>MEDICINOU_Q</t>
  </si>
  <si>
    <t>Other:</t>
  </si>
  <si>
    <t>Outro:</t>
  </si>
  <si>
    <t>query_name</t>
  </si>
  <si>
    <t>query_type</t>
  </si>
  <si>
    <t>uri</t>
  </si>
  <si>
    <t>callback</t>
  </si>
  <si>
    <t>reg_csv</t>
  </si>
  <si>
    <t>csv</t>
  </si>
  <si>
    <t>"HEALTHCENTRES.csv"</t>
  </si>
  <si>
    <t xml:space="preserve">_.chain(context)
.uniq(function(x) {
return x.reg
})
.map(function(place){
return {
data_value:place.reg,
display:{title: {text: place.regname} } };
}).value()</t>
  </si>
  <si>
    <t>hc_csv</t>
  </si>
  <si>
    <t xml:space="preserve">_.map(context, function(place){place.data_value = place.cscode;
place.display = {title: {text: place.csname} };
return place;
})</t>
  </si>
  <si>
    <t>interval_csv</t>
  </si>
  <si>
    <t>"DIAS.csv"</t>
  </si>
  <si>
    <t xml:space="preserve">_.chain(context)
.uniq(function(x) {
return x.INTERVAL
})
.map(function(place){
return {
data_value:place.INTERVAL,
display:{title: {text: place.INTERVAL} } };
}).value()</t>
  </si>
  <si>
    <t xml:space="preserve">_.map(context, function(place){place.data_value = place.DAYS_VALUE;
place.display = {title: {text: place.DAYS_NAME} };
return place;
})</t>
  </si>
  <si>
    <t>bairro_csv</t>
  </si>
  <si>
    <t>"TABZ.csv"</t>
  </si>
  <si>
    <t xml:space="preserve">_.chain(context)
.uniq(function(x) {
return x.BAIRRONR
})
.map(function(place){
return {
data_value:place.BAIRRONR,
display:{title: {text: place.BAIRRO} } };
}).value()</t>
  </si>
  <si>
    <t>tabz_csv</t>
  </si>
  <si>
    <t xml:space="preserve">_.map(context, function(place){place.data_value = place.TABZ;
place.display = {title: {text: place.ZONE} };
return place;
})</t>
  </si>
  <si>
    <t>choice_list_name</t>
  </si>
  <si>
    <t>data_value</t>
  </si>
  <si>
    <t xml:space="preserve">Follow up possible</t>
  </si>
  <si>
    <t xml:space="preserve">Seguimento realizado</t>
  </si>
  <si>
    <t xml:space="preserve">No network</t>
  </si>
  <si>
    <t xml:space="preserve">Sem rede</t>
  </si>
  <si>
    <t xml:space="preserve">Doesn't answer the phone</t>
  </si>
  <si>
    <t xml:space="preserve">Não atende o telemóvel</t>
  </si>
  <si>
    <t xml:space="preserve">Incorrect Number</t>
  </si>
  <si>
    <t xml:space="preserve">Numero incorreto</t>
  </si>
  <si>
    <t xml:space="preserve">No one to provide information</t>
  </si>
  <si>
    <t xml:space="preserve">Ninguem para fornecer informaçeos</t>
  </si>
  <si>
    <t>Mother</t>
  </si>
  <si>
    <t>Mãe</t>
  </si>
  <si>
    <t>Father</t>
  </si>
  <si>
    <t>Pai</t>
  </si>
  <si>
    <t xml:space="preserve">Other caretaker</t>
  </si>
  <si>
    <t>Tutor</t>
  </si>
  <si>
    <t>Yes</t>
  </si>
  <si>
    <t>Sim</t>
  </si>
  <si>
    <t>No</t>
  </si>
  <si>
    <t>Não</t>
  </si>
  <si>
    <t xml:space="preserve">Don't know</t>
  </si>
  <si>
    <t xml:space="preserve">Não sabe</t>
  </si>
  <si>
    <t>vac</t>
  </si>
  <si>
    <t>BCG</t>
  </si>
  <si>
    <t>VPO</t>
  </si>
  <si>
    <t>Penta</t>
  </si>
  <si>
    <t>PCV</t>
  </si>
  <si>
    <t>Rota</t>
  </si>
  <si>
    <t>VPI</t>
  </si>
  <si>
    <t>Sarampo</t>
  </si>
  <si>
    <t>Measles</t>
  </si>
  <si>
    <t>Amarelo</t>
  </si>
  <si>
    <t xml:space="preserve">Yellow fever</t>
  </si>
  <si>
    <t xml:space="preserve">Febre amarela</t>
  </si>
  <si>
    <t>Ou</t>
  </si>
  <si>
    <t>Other</t>
  </si>
  <si>
    <t>Outro</t>
  </si>
  <si>
    <t>Eduardo</t>
  </si>
  <si>
    <t>Jailson</t>
  </si>
  <si>
    <t xml:space="preserve">Laerte </t>
  </si>
  <si>
    <t>Laerte</t>
  </si>
  <si>
    <t>Igualdino</t>
  </si>
  <si>
    <t xml:space="preserve">Augusto da Costa</t>
  </si>
  <si>
    <t xml:space="preserve">11 - Suzete removed 16-02-2022</t>
  </si>
  <si>
    <t>Abrao</t>
  </si>
  <si>
    <t>Justiniano</t>
  </si>
  <si>
    <t xml:space="preserve">Não Sabe</t>
  </si>
  <si>
    <t>vezes</t>
  </si>
  <si>
    <t xml:space="preserve">More than 3 times</t>
  </si>
  <si>
    <t xml:space="preserve">Mais de 3 vezes</t>
  </si>
  <si>
    <t>hospalta</t>
  </si>
  <si>
    <t xml:space="preserve">The child still admitted</t>
  </si>
  <si>
    <t xml:space="preserve">A criança esta ainda internada</t>
  </si>
  <si>
    <t>dontknowhosp</t>
  </si>
  <si>
    <t xml:space="preserve">Other place</t>
  </si>
  <si>
    <t xml:space="preserve">Outro lugar</t>
  </si>
  <si>
    <t>reg</t>
  </si>
  <si>
    <t>SAB</t>
  </si>
  <si>
    <t>Oio</t>
  </si>
  <si>
    <t>Farim</t>
  </si>
  <si>
    <t>Biombo</t>
  </si>
  <si>
    <t>Cacheu</t>
  </si>
  <si>
    <t xml:space="preserve">Sao Domingos</t>
  </si>
  <si>
    <t>Bafata</t>
  </si>
  <si>
    <t>Gabu</t>
  </si>
  <si>
    <t>Quinara</t>
  </si>
  <si>
    <t>Tombali</t>
  </si>
  <si>
    <t>Bubaque</t>
  </si>
  <si>
    <t>Bolama</t>
  </si>
  <si>
    <t>Paracetamol</t>
  </si>
  <si>
    <t>Amoxicillina</t>
  </si>
  <si>
    <t xml:space="preserve">Complexo B</t>
  </si>
  <si>
    <t>Salbutamol</t>
  </si>
  <si>
    <t>Diazepam</t>
  </si>
  <si>
    <t>Prometazina</t>
  </si>
  <si>
    <t xml:space="preserve">Soro fisiologico</t>
  </si>
  <si>
    <t xml:space="preserve">Vitamina C</t>
  </si>
  <si>
    <t>SRO</t>
  </si>
  <si>
    <t xml:space="preserve">Sulfate de Zinco</t>
  </si>
  <si>
    <t>Azitomicina</t>
  </si>
  <si>
    <t>Brufen</t>
  </si>
  <si>
    <t>Albendazol</t>
  </si>
  <si>
    <t>Mebendazol</t>
  </si>
  <si>
    <t>Metroniazol</t>
  </si>
  <si>
    <t>Nistatina</t>
  </si>
  <si>
    <t>Augmentin</t>
  </si>
  <si>
    <t>Erytromecina</t>
  </si>
  <si>
    <t>calculation_name</t>
  </si>
  <si>
    <t>relation1</t>
  </si>
  <si>
    <t>freebase.relation(data('TELEINF1'),'EN')</t>
  </si>
  <si>
    <t>relationPU1</t>
  </si>
  <si>
    <t>freebase.relation(data('TELEINF1'),'PU')</t>
  </si>
  <si>
    <t>relation2</t>
  </si>
  <si>
    <t>freebase.relation(data('TELEINF2'),'EN')</t>
  </si>
  <si>
    <t>relationPU2</t>
  </si>
  <si>
    <t>freebase.relation(data('TELEINF2'),'PU')</t>
  </si>
  <si>
    <t>relation3</t>
  </si>
  <si>
    <t>freebase.relation(data('TELEINF3'),'EN')</t>
  </si>
  <si>
    <t>relationPU3</t>
  </si>
  <si>
    <t>freebase.relation(data('TELEINF3'),'PU')</t>
  </si>
  <si>
    <t>displayDOB</t>
  </si>
  <si>
    <t>adate.display(data('DOB'))</t>
  </si>
  <si>
    <t>displayDATINC</t>
  </si>
  <si>
    <t>adate.display(data('DATINC'))</t>
  </si>
  <si>
    <t>prompt_type_name</t>
  </si>
  <si>
    <t>elementType</t>
  </si>
  <si>
    <t>comment</t>
  </si>
  <si>
    <t>string</t>
  </si>
  <si>
    <t xml:space="preserve">Save only mm.dd.yyyy with support for ?? at all positions</t>
  </si>
  <si>
    <t>isSessionVariable</t>
  </si>
  <si>
    <t>call</t>
  </si>
  <si>
    <t>FU</t>
  </si>
  <si>
    <t>HOSPALTA1</t>
  </si>
  <si>
    <t>HOSPALTA2</t>
  </si>
  <si>
    <t>HOSPALTA3</t>
  </si>
  <si>
    <t>HOSPCAUSA1</t>
  </si>
  <si>
    <t>HOSPCAUSA2</t>
  </si>
  <si>
    <t>HOSPCAUSA3</t>
  </si>
  <si>
    <t>HOSPCODE1</t>
  </si>
  <si>
    <t>select_one_dropdown</t>
  </si>
  <si>
    <t>hospcode1ns</t>
  </si>
  <si>
    <t>HOSPCODE2</t>
  </si>
  <si>
    <t>hospcode2ns</t>
  </si>
  <si>
    <t>HOSPCODE3</t>
  </si>
  <si>
    <t>hospcode3ns</t>
  </si>
  <si>
    <t>HOSPDATA1</t>
  </si>
  <si>
    <t xml:space="preserve">adate </t>
  </si>
  <si>
    <t>HOSPDATA2</t>
  </si>
  <si>
    <t>HOSPDATA3</t>
  </si>
  <si>
    <t>HOSPDIAS1</t>
  </si>
  <si>
    <t>HOSPDIAS2</t>
  </si>
  <si>
    <t>HOSPDIAS3</t>
  </si>
  <si>
    <t>HOSPI</t>
  </si>
  <si>
    <t>HOSPI2</t>
  </si>
  <si>
    <t>HOSPI3</t>
  </si>
  <si>
    <t>HOSPIVEZ</t>
  </si>
  <si>
    <t>MORNOME</t>
  </si>
  <si>
    <t>PODEAUT</t>
  </si>
  <si>
    <t>REG</t>
  </si>
  <si>
    <t>reghosp1</t>
  </si>
  <si>
    <t>reghosp2</t>
  </si>
  <si>
    <t>reghosp3</t>
  </si>
  <si>
    <t>TABNOME</t>
  </si>
  <si>
    <t>VACHIS</t>
  </si>
  <si>
    <t>VACOUTRO</t>
  </si>
  <si>
    <t>VACTIPO</t>
  </si>
  <si>
    <t>chamada1</t>
  </si>
  <si>
    <t>tableApp</t>
  </si>
  <si>
    <t>chamada2</t>
  </si>
  <si>
    <t>chamada3</t>
  </si>
  <si>
    <t>DATINC</t>
  </si>
  <si>
    <t>DOB</t>
  </si>
  <si>
    <t>FOLLOWUP</t>
  </si>
  <si>
    <t>IDADEANO</t>
  </si>
  <si>
    <t>IDADEMES</t>
  </si>
  <si>
    <t>IDINC</t>
  </si>
  <si>
    <t>NOMECRI</t>
  </si>
  <si>
    <t>NOMEMAE</t>
  </si>
  <si>
    <t>NUMEST</t>
  </si>
  <si>
    <t>SEX</t>
  </si>
  <si>
    <t>TELEINF1</t>
  </si>
  <si>
    <t>TELEINF2</t>
  </si>
  <si>
    <t>TELEINF3</t>
  </si>
  <si>
    <t>TELEMOVEL1</t>
  </si>
  <si>
    <t>TELEMOVEL2</t>
  </si>
  <si>
    <t>TELEMOVEL3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</si>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</sst>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[$-406]General"/>
  </numFmts>
  <fonts count="8">
    <font>
      <sz val="11.000000"/>
      <color theme="1"/>
      <name val="Calibri"/>
      <scheme val="minor"/>
    </font>
    <font>
      <sz val="11.000000"/>
      <name val="Calibri"/>
    </font>
    <font>
      <sz val="10.000000"/>
      <name val="Arial"/>
    </font>
    <font>
      <b/>
      <sz val="11.000000"/>
      <color theme="1"/>
      <name val="Calibri"/>
      <scheme val="minor"/>
    </font>
    <font>
      <sz val="11.000000"/>
      <name val="Calibri"/>
      <scheme val="minor"/>
    </font>
    <font>
      <u/>
      <sz val="11.000000"/>
      <color theme="1"/>
      <name val="Calibri"/>
      <scheme val="minor"/>
    </font>
    <font>
      <color theme="1"/>
      <name val="Calibri"/>
      <scheme val="minor"/>
    </font>
    <font>
      <b/>
      <sz val="11.000000"/>
      <color rgb="FF40404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indexed="5"/>
      </patternFill>
    </fill>
  </fills>
  <borders count="2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</borders>
  <cellStyleXfs count="4">
    <xf fontId="0" fillId="0" borderId="0" numFmtId="0" applyNumberFormat="1" applyFont="1" applyFill="1" applyBorder="1"/>
    <xf fontId="1" fillId="0" borderId="0" numFmtId="164" applyNumberFormat="1" applyFont="1" applyFill="1" applyBorder="1"/>
    <xf fontId="2" fillId="0" borderId="0" numFmtId="0" applyNumberFormat="1" applyFont="1" applyFill="1" applyBorder="1"/>
    <xf fontId="0" fillId="0" borderId="0" numFmtId="0" applyNumberFormat="1" applyFont="1" applyFill="1" applyBorder="1"/>
  </cellStyleXfs>
  <cellXfs count="16">
    <xf fontId="0" fillId="0" borderId="0" numFmtId="0" xfId="0"/>
    <xf fontId="3" fillId="0" borderId="1" numFmtId="0" xfId="0" applyFont="1" applyBorder="1"/>
    <xf fontId="0" fillId="0" borderId="0" numFmtId="0" xfId="0"/>
    <xf fontId="0" fillId="0" borderId="0" numFmtId="0" xfId="0" applyAlignment="1">
      <alignment wrapText="1"/>
    </xf>
    <xf fontId="0" fillId="2" borderId="0" numFmtId="0" xfId="0" applyFill="1"/>
    <xf fontId="4" fillId="2" borderId="0" numFmtId="0" xfId="0" applyFont="1" applyFill="1"/>
    <xf fontId="5" fillId="0" borderId="0" numFmtId="0" xfId="0" applyFont="1"/>
    <xf fontId="3" fillId="0" borderId="0" numFmtId="0" xfId="0" applyFont="1"/>
    <xf fontId="6" fillId="0" borderId="0" numFmtId="0" xfId="0" applyFont="1"/>
    <xf fontId="0" fillId="0" borderId="0" numFmtId="0" xfId="0" quotePrefix="1"/>
    <xf fontId="0" fillId="0" borderId="0" numFmtId="0" xfId="0">
      <protection hidden="0" locked="1"/>
    </xf>
    <xf fontId="4" fillId="0" borderId="0" numFmtId="0" xfId="0" applyFont="1"/>
    <xf fontId="0" fillId="3" borderId="0" numFmtId="0" xfId="0" applyFill="1"/>
    <xf fontId="0" fillId="0" borderId="1" numFmtId="0" xfId="0" applyBorder="1"/>
    <xf fontId="2" fillId="0" borderId="0" numFmtId="0" xfId="0" applyFont="1"/>
    <xf fontId="7" fillId="0" borderId="0" numFmtId="0" xfId="0" applyFont="1"/>
  </cellXfs>
  <cellStyles count="4">
    <cellStyle name="Excel Built-in Normal" xfId="1"/>
    <cellStyle name="Normal" xfId="0" builtinId="0"/>
    <cellStyle name="Normal 2" xfId="2"/>
    <cellStyle name="Normal 4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D6" activeCellId="0" sqref="D6"/>
    </sheetView>
  </sheetViews>
  <sheetFormatPr defaultRowHeight="14.5"/>
  <cols>
    <col bestFit="1" customWidth="1" min="1" max="1" width="13.26953125"/>
    <col bestFit="1" customWidth="1" min="3" max="3" width="29"/>
    <col bestFit="1" customWidth="1" min="4" max="4" width="27"/>
    <col bestFit="1" customWidth="1" min="5" max="5" width="24.7265625"/>
    <col bestFit="1" customWidth="1" min="6" max="6" width="28.54296875"/>
  </cols>
  <sheetData>
    <row r="1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t="s">
        <v>6</v>
      </c>
      <c r="B2" t="s">
        <v>7</v>
      </c>
    </row>
    <row r="3">
      <c r="A3" t="s">
        <v>8</v>
      </c>
      <c r="B3">
        <v>60120</v>
      </c>
    </row>
    <row r="4">
      <c r="A4" t="s">
        <v>9</v>
      </c>
      <c r="B4" t="s">
        <v>7</v>
      </c>
    </row>
    <row r="5">
      <c r="A5" t="s">
        <v>10</v>
      </c>
      <c r="B5" t="s">
        <v>7</v>
      </c>
      <c r="C5" t="s">
        <v>11</v>
      </c>
      <c r="D5" t="s">
        <v>12</v>
      </c>
    </row>
    <row r="6">
      <c r="A6" t="s">
        <v>13</v>
      </c>
      <c r="E6" t="s">
        <v>14</v>
      </c>
      <c r="F6" s="2" t="s">
        <v>15</v>
      </c>
    </row>
    <row r="7">
      <c r="A7" t="s">
        <v>16</v>
      </c>
      <c r="E7" t="s">
        <v>17</v>
      </c>
      <c r="F7" t="s">
        <v>18</v>
      </c>
    </row>
    <row r="8">
      <c r="A8" s="3" t="s">
        <v>19</v>
      </c>
      <c r="B8" s="3" t="s">
        <v>20</v>
      </c>
    </row>
  </sheetData>
  <sortState ref="G12:G24">
    <sortCondition ref="G12"/>
  </sortState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C4" activeCellId="0" sqref="C4"/>
    </sheetView>
  </sheetViews>
  <sheetFormatPr defaultRowHeight="14.5"/>
  <cols>
    <col bestFit="1" customWidth="1" min="1" max="1" width="12.453125"/>
    <col bestFit="1" customWidth="1" min="2" max="2" width="12.81640625"/>
    <col customWidth="1" min="3" max="3" width="44.453125"/>
    <col bestFit="1" customWidth="1" min="4" max="4" width="22"/>
    <col bestFit="1" customWidth="1" min="5" max="5" width="10.453125"/>
    <col bestFit="1" customWidth="1" min="6" max="6" width="13.26953125"/>
    <col bestFit="1" customWidth="1" min="7" max="7" width="44"/>
    <col customWidth="1" min="8" max="8" width="53.1796875"/>
    <col bestFit="1" customWidth="1" min="9" max="9" width="13.1796875"/>
    <col bestFit="1" customWidth="1" min="10" max="10" width="69"/>
    <col bestFit="1" customWidth="1" min="11" max="11" width="82.7265625"/>
  </cols>
  <sheetData>
    <row r="1" s="1" customFormat="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</row>
    <row r="2" s="2" customFormat="1">
      <c r="A2" s="4" t="s">
        <v>33</v>
      </c>
      <c r="B2" s="2" t="s">
        <v>34</v>
      </c>
      <c r="C2" s="2" t="s">
        <v>35</v>
      </c>
    </row>
    <row r="3">
      <c r="B3" t="s">
        <v>36</v>
      </c>
    </row>
    <row r="4">
      <c r="D4" t="s">
        <v>37</v>
      </c>
      <c r="F4" t="s">
        <v>38</v>
      </c>
      <c r="I4" t="s">
        <v>39</v>
      </c>
    </row>
    <row r="5">
      <c r="D5" t="s">
        <v>40</v>
      </c>
      <c r="E5" t="s">
        <v>41</v>
      </c>
      <c r="F5" t="s">
        <v>42</v>
      </c>
      <c r="G5" t="s">
        <v>43</v>
      </c>
      <c r="H5" t="s">
        <v>44</v>
      </c>
    </row>
    <row r="6">
      <c r="D6" t="s">
        <v>37</v>
      </c>
      <c r="F6" t="s">
        <v>45</v>
      </c>
      <c r="I6" t="s">
        <v>46</v>
      </c>
    </row>
    <row r="7">
      <c r="D7" t="s">
        <v>47</v>
      </c>
      <c r="F7" t="s">
        <v>45</v>
      </c>
      <c r="G7" t="s">
        <v>48</v>
      </c>
      <c r="H7" t="s">
        <v>49</v>
      </c>
      <c r="L7" t="b">
        <v>0</v>
      </c>
    </row>
    <row r="8">
      <c r="B8" t="s">
        <v>50</v>
      </c>
    </row>
    <row r="9">
      <c r="B9" t="s">
        <v>51</v>
      </c>
    </row>
    <row r="10">
      <c r="A10" s="4" t="s">
        <v>52</v>
      </c>
      <c r="B10" s="2" t="s">
        <v>34</v>
      </c>
      <c r="C10" s="2" t="s">
        <v>53</v>
      </c>
    </row>
    <row r="11">
      <c r="B11" t="s">
        <v>36</v>
      </c>
    </row>
    <row r="12">
      <c r="D12" t="s">
        <v>37</v>
      </c>
      <c r="F12" t="s">
        <v>38</v>
      </c>
      <c r="I12" t="s">
        <v>39</v>
      </c>
    </row>
    <row r="13">
      <c r="D13" t="s">
        <v>40</v>
      </c>
      <c r="E13" t="s">
        <v>41</v>
      </c>
      <c r="F13" t="s">
        <v>54</v>
      </c>
      <c r="G13" t="s">
        <v>43</v>
      </c>
      <c r="H13" t="s">
        <v>44</v>
      </c>
    </row>
    <row r="14">
      <c r="D14" t="s">
        <v>37</v>
      </c>
      <c r="F14" t="s">
        <v>55</v>
      </c>
      <c r="I14" t="s">
        <v>46</v>
      </c>
    </row>
    <row r="15">
      <c r="D15" t="s">
        <v>47</v>
      </c>
      <c r="F15" t="s">
        <v>55</v>
      </c>
      <c r="G15" t="s">
        <v>48</v>
      </c>
      <c r="H15" t="s">
        <v>49</v>
      </c>
      <c r="L15" t="b">
        <v>0</v>
      </c>
    </row>
    <row r="16">
      <c r="B16" t="s">
        <v>50</v>
      </c>
    </row>
    <row r="17">
      <c r="B17" t="s">
        <v>51</v>
      </c>
    </row>
    <row r="18" s="2" customFormat="1">
      <c r="A18" s="5" t="s">
        <v>56</v>
      </c>
      <c r="B18" s="2" t="s">
        <v>34</v>
      </c>
      <c r="C18" s="2" t="s">
        <v>57</v>
      </c>
    </row>
    <row r="19">
      <c r="B19" t="s">
        <v>36</v>
      </c>
    </row>
    <row r="20">
      <c r="D20" t="s">
        <v>37</v>
      </c>
      <c r="F20" t="s">
        <v>38</v>
      </c>
      <c r="I20" t="s">
        <v>39</v>
      </c>
    </row>
    <row r="21">
      <c r="D21" t="s">
        <v>40</v>
      </c>
      <c r="E21" t="s">
        <v>41</v>
      </c>
      <c r="F21" t="s">
        <v>58</v>
      </c>
      <c r="G21" t="s">
        <v>43</v>
      </c>
      <c r="H21" t="s">
        <v>44</v>
      </c>
    </row>
    <row r="22">
      <c r="D22" t="s">
        <v>37</v>
      </c>
      <c r="F22" t="s">
        <v>59</v>
      </c>
      <c r="I22" t="s">
        <v>46</v>
      </c>
    </row>
    <row r="23">
      <c r="D23" t="s">
        <v>47</v>
      </c>
      <c r="F23" t="s">
        <v>59</v>
      </c>
      <c r="G23" t="s">
        <v>48</v>
      </c>
      <c r="H23" t="s">
        <v>49</v>
      </c>
      <c r="L23" t="b">
        <v>0</v>
      </c>
    </row>
    <row r="24">
      <c r="B24" t="s">
        <v>50</v>
      </c>
    </row>
    <row r="25">
      <c r="B25" t="s">
        <v>51</v>
      </c>
    </row>
    <row r="26" s="2" customFormat="1">
      <c r="A26" s="4" t="s">
        <v>33</v>
      </c>
      <c r="B26" s="2" t="s">
        <v>34</v>
      </c>
      <c r="C26" s="2" t="s">
        <v>60</v>
      </c>
    </row>
    <row r="27">
      <c r="B27" t="s">
        <v>36</v>
      </c>
    </row>
    <row r="28" ht="30" customHeight="1">
      <c r="D28" t="s">
        <v>61</v>
      </c>
      <c r="E28" s="2" t="s">
        <v>62</v>
      </c>
      <c r="F28" t="s">
        <v>63</v>
      </c>
      <c r="G28" s="3" t="s">
        <v>64</v>
      </c>
      <c r="H28" s="3" t="s">
        <v>65</v>
      </c>
      <c r="J28" t="s">
        <v>66</v>
      </c>
      <c r="K28" s="2" t="s">
        <v>67</v>
      </c>
    </row>
    <row r="29">
      <c r="B29" t="s">
        <v>34</v>
      </c>
      <c r="C29" t="s">
        <v>68</v>
      </c>
      <c r="E29" s="2"/>
    </row>
    <row r="30">
      <c r="D30" t="s">
        <v>69</v>
      </c>
      <c r="E30" s="2"/>
      <c r="G30" t="s">
        <v>70</v>
      </c>
      <c r="H30" t="s">
        <v>71</v>
      </c>
    </row>
    <row r="31">
      <c r="D31" t="s">
        <v>37</v>
      </c>
      <c r="E31" s="2"/>
      <c r="F31" t="s">
        <v>63</v>
      </c>
      <c r="I31">
        <v>4</v>
      </c>
    </row>
    <row r="32">
      <c r="B32" t="s">
        <v>51</v>
      </c>
      <c r="E32" s="2"/>
    </row>
    <row r="33">
      <c r="D33" t="s">
        <v>69</v>
      </c>
      <c r="E33" s="2"/>
      <c r="G33" t="s">
        <v>72</v>
      </c>
      <c r="H33" t="s">
        <v>73</v>
      </c>
    </row>
    <row r="34">
      <c r="B34" t="s">
        <v>34</v>
      </c>
      <c r="C34" t="s">
        <v>74</v>
      </c>
    </row>
    <row r="35">
      <c r="D35" t="s">
        <v>69</v>
      </c>
      <c r="G35" t="s">
        <v>75</v>
      </c>
      <c r="H35" t="s">
        <v>76</v>
      </c>
    </row>
    <row r="36">
      <c r="B36" t="s">
        <v>77</v>
      </c>
    </row>
    <row r="37">
      <c r="D37" t="s">
        <v>69</v>
      </c>
      <c r="G37" t="s">
        <v>78</v>
      </c>
      <c r="H37" t="s">
        <v>79</v>
      </c>
    </row>
    <row r="38">
      <c r="B38" t="s">
        <v>51</v>
      </c>
    </row>
    <row r="39">
      <c r="B39" t="s">
        <v>34</v>
      </c>
      <c r="C39" t="s">
        <v>80</v>
      </c>
    </row>
    <row r="40">
      <c r="D40" t="s">
        <v>69</v>
      </c>
      <c r="G40" t="s">
        <v>81</v>
      </c>
      <c r="H40" t="s">
        <v>82</v>
      </c>
    </row>
    <row r="41">
      <c r="B41" t="s">
        <v>77</v>
      </c>
    </row>
    <row r="42">
      <c r="D42" t="s">
        <v>69</v>
      </c>
      <c r="G42" t="s">
        <v>83</v>
      </c>
      <c r="H42" t="s">
        <v>84</v>
      </c>
    </row>
    <row r="43">
      <c r="B43" t="s">
        <v>51</v>
      </c>
    </row>
    <row r="44">
      <c r="D44" t="s">
        <v>69</v>
      </c>
      <c r="E44" s="2"/>
      <c r="G44" t="s">
        <v>85</v>
      </c>
      <c r="H44" t="s">
        <v>86</v>
      </c>
    </row>
    <row r="45">
      <c r="D45" t="s">
        <v>69</v>
      </c>
      <c r="G45" t="s">
        <v>87</v>
      </c>
      <c r="H45" t="s">
        <v>88</v>
      </c>
    </row>
    <row r="46">
      <c r="D46" t="s">
        <v>69</v>
      </c>
      <c r="G46" t="s">
        <v>89</v>
      </c>
      <c r="H46" t="s">
        <v>90</v>
      </c>
    </row>
    <row r="47">
      <c r="D47" t="s">
        <v>37</v>
      </c>
      <c r="F47" t="s">
        <v>91</v>
      </c>
      <c r="I47" t="s">
        <v>92</v>
      </c>
    </row>
    <row r="48">
      <c r="B48" t="s">
        <v>50</v>
      </c>
      <c r="G48" s="6"/>
    </row>
    <row r="49">
      <c r="B49" t="s">
        <v>34</v>
      </c>
      <c r="C49" t="s">
        <v>93</v>
      </c>
      <c r="G49" s="6"/>
    </row>
    <row r="50">
      <c r="B50" t="s">
        <v>36</v>
      </c>
    </row>
    <row r="51">
      <c r="B51" t="s">
        <v>34</v>
      </c>
      <c r="C51" t="s">
        <v>94</v>
      </c>
    </row>
    <row r="52">
      <c r="D52" t="s">
        <v>69</v>
      </c>
      <c r="G52" t="s">
        <v>95</v>
      </c>
      <c r="H52" t="s">
        <v>96</v>
      </c>
    </row>
    <row r="53">
      <c r="D53" t="s">
        <v>37</v>
      </c>
      <c r="F53" t="s">
        <v>97</v>
      </c>
      <c r="I53">
        <v>7</v>
      </c>
    </row>
    <row r="54">
      <c r="B54" t="s">
        <v>77</v>
      </c>
    </row>
    <row r="55" ht="29">
      <c r="D55" t="s">
        <v>61</v>
      </c>
      <c r="E55" t="s">
        <v>62</v>
      </c>
      <c r="F55" t="s">
        <v>97</v>
      </c>
      <c r="G55" s="3" t="s">
        <v>98</v>
      </c>
      <c r="H55" s="3" t="s">
        <v>99</v>
      </c>
      <c r="J55" t="s">
        <v>66</v>
      </c>
      <c r="K55" s="2" t="s">
        <v>67</v>
      </c>
    </row>
    <row r="56">
      <c r="B56" t="s">
        <v>34</v>
      </c>
      <c r="C56" t="s">
        <v>100</v>
      </c>
      <c r="E56" s="2"/>
    </row>
    <row r="57">
      <c r="D57" t="s">
        <v>69</v>
      </c>
      <c r="E57" s="2"/>
      <c r="G57" t="s">
        <v>70</v>
      </c>
      <c r="H57" t="s">
        <v>71</v>
      </c>
    </row>
    <row r="58">
      <c r="D58" t="s">
        <v>37</v>
      </c>
      <c r="E58" s="2"/>
      <c r="F58" t="s">
        <v>97</v>
      </c>
      <c r="I58">
        <v>4</v>
      </c>
    </row>
    <row r="59">
      <c r="B59" t="s">
        <v>51</v>
      </c>
      <c r="E59" s="2"/>
    </row>
    <row r="60">
      <c r="D60" t="s">
        <v>69</v>
      </c>
      <c r="E60" s="2"/>
      <c r="G60" t="s">
        <v>72</v>
      </c>
      <c r="H60" t="s">
        <v>73</v>
      </c>
    </row>
    <row r="61">
      <c r="B61" t="s">
        <v>34</v>
      </c>
      <c r="C61" t="s">
        <v>74</v>
      </c>
    </row>
    <row r="62">
      <c r="D62" t="s">
        <v>69</v>
      </c>
      <c r="G62" t="s">
        <v>75</v>
      </c>
      <c r="H62" t="s">
        <v>76</v>
      </c>
    </row>
    <row r="63">
      <c r="B63" t="s">
        <v>77</v>
      </c>
    </row>
    <row r="64">
      <c r="D64" t="s">
        <v>69</v>
      </c>
      <c r="G64" t="s">
        <v>78</v>
      </c>
      <c r="H64" t="s">
        <v>79</v>
      </c>
    </row>
    <row r="65">
      <c r="B65" t="s">
        <v>51</v>
      </c>
    </row>
    <row r="66">
      <c r="B66" t="s">
        <v>34</v>
      </c>
      <c r="C66" t="s">
        <v>80</v>
      </c>
    </row>
    <row r="67">
      <c r="D67" t="s">
        <v>69</v>
      </c>
      <c r="G67" t="s">
        <v>81</v>
      </c>
      <c r="H67" t="s">
        <v>82</v>
      </c>
    </row>
    <row r="68">
      <c r="B68" t="s">
        <v>77</v>
      </c>
    </row>
    <row r="69">
      <c r="D69" t="s">
        <v>69</v>
      </c>
      <c r="G69" t="s">
        <v>83</v>
      </c>
      <c r="H69" t="s">
        <v>84</v>
      </c>
    </row>
    <row r="70">
      <c r="B70" t="s">
        <v>51</v>
      </c>
    </row>
    <row r="71">
      <c r="D71" t="s">
        <v>69</v>
      </c>
      <c r="E71" s="2"/>
      <c r="G71" t="s">
        <v>85</v>
      </c>
      <c r="H71" t="s">
        <v>86</v>
      </c>
    </row>
    <row r="72">
      <c r="D72" t="s">
        <v>69</v>
      </c>
      <c r="G72" t="s">
        <v>87</v>
      </c>
      <c r="H72" t="s">
        <v>88</v>
      </c>
    </row>
    <row r="73">
      <c r="D73" t="s">
        <v>69</v>
      </c>
      <c r="G73" t="s">
        <v>89</v>
      </c>
      <c r="H73" t="s">
        <v>90</v>
      </c>
    </row>
    <row r="74">
      <c r="D74" t="s">
        <v>37</v>
      </c>
      <c r="F74" t="s">
        <v>91</v>
      </c>
      <c r="I74" t="s">
        <v>92</v>
      </c>
    </row>
    <row r="75">
      <c r="B75" t="s">
        <v>51</v>
      </c>
    </row>
    <row r="76">
      <c r="B76" t="s">
        <v>50</v>
      </c>
    </row>
    <row r="77">
      <c r="B77" t="s">
        <v>34</v>
      </c>
      <c r="C77" t="s">
        <v>101</v>
      </c>
    </row>
    <row r="78">
      <c r="B78" t="s">
        <v>36</v>
      </c>
    </row>
    <row r="79">
      <c r="B79" t="s">
        <v>34</v>
      </c>
      <c r="C79" t="s">
        <v>102</v>
      </c>
    </row>
    <row r="80">
      <c r="D80" t="s">
        <v>69</v>
      </c>
      <c r="G80" t="s">
        <v>103</v>
      </c>
      <c r="H80" t="s">
        <v>104</v>
      </c>
    </row>
    <row r="81">
      <c r="D81" t="s">
        <v>37</v>
      </c>
      <c r="F81" t="s">
        <v>105</v>
      </c>
      <c r="I81">
        <v>7</v>
      </c>
    </row>
    <row r="82">
      <c r="B82" t="s">
        <v>77</v>
      </c>
    </row>
    <row r="83" ht="29">
      <c r="D83" t="s">
        <v>61</v>
      </c>
      <c r="E83" t="s">
        <v>62</v>
      </c>
      <c r="F83" t="s">
        <v>105</v>
      </c>
      <c r="G83" s="3" t="s">
        <v>106</v>
      </c>
      <c r="H83" s="3" t="s">
        <v>107</v>
      </c>
      <c r="J83" t="s">
        <v>66</v>
      </c>
      <c r="K83" s="2" t="s">
        <v>67</v>
      </c>
    </row>
    <row r="84">
      <c r="B84" t="s">
        <v>34</v>
      </c>
      <c r="C84" t="s">
        <v>108</v>
      </c>
      <c r="E84" s="2"/>
    </row>
    <row r="85">
      <c r="D85" t="s">
        <v>69</v>
      </c>
      <c r="E85" s="2"/>
      <c r="G85" t="s">
        <v>70</v>
      </c>
      <c r="H85" t="s">
        <v>71</v>
      </c>
    </row>
    <row r="86">
      <c r="D86" t="s">
        <v>37</v>
      </c>
      <c r="E86" s="2"/>
      <c r="F86" t="s">
        <v>105</v>
      </c>
      <c r="I86">
        <v>4</v>
      </c>
    </row>
    <row r="87">
      <c r="B87" t="s">
        <v>51</v>
      </c>
      <c r="E87" s="2"/>
    </row>
    <row r="88">
      <c r="D88" t="s">
        <v>69</v>
      </c>
      <c r="E88" s="2"/>
      <c r="G88" t="s">
        <v>72</v>
      </c>
      <c r="H88" t="s">
        <v>73</v>
      </c>
    </row>
    <row r="89">
      <c r="B89" t="s">
        <v>34</v>
      </c>
      <c r="C89" t="s">
        <v>74</v>
      </c>
    </row>
    <row r="90">
      <c r="D90" t="s">
        <v>69</v>
      </c>
      <c r="G90" t="s">
        <v>75</v>
      </c>
      <c r="H90" t="s">
        <v>76</v>
      </c>
    </row>
    <row r="91">
      <c r="B91" t="s">
        <v>77</v>
      </c>
    </row>
    <row r="92">
      <c r="D92" t="s">
        <v>69</v>
      </c>
      <c r="G92" t="s">
        <v>78</v>
      </c>
      <c r="H92" t="s">
        <v>79</v>
      </c>
    </row>
    <row r="93">
      <c r="B93" t="s">
        <v>51</v>
      </c>
    </row>
    <row r="94">
      <c r="B94" t="s">
        <v>34</v>
      </c>
      <c r="C94" t="s">
        <v>80</v>
      </c>
    </row>
    <row r="95">
      <c r="D95" t="s">
        <v>69</v>
      </c>
      <c r="G95" t="s">
        <v>81</v>
      </c>
      <c r="H95" t="s">
        <v>82</v>
      </c>
    </row>
    <row r="96">
      <c r="B96" t="s">
        <v>77</v>
      </c>
    </row>
    <row r="97">
      <c r="D97" t="s">
        <v>69</v>
      </c>
      <c r="G97" t="s">
        <v>83</v>
      </c>
      <c r="H97" t="s">
        <v>84</v>
      </c>
    </row>
    <row r="98">
      <c r="B98" t="s">
        <v>51</v>
      </c>
    </row>
    <row r="99">
      <c r="D99" t="s">
        <v>69</v>
      </c>
      <c r="E99" s="2"/>
      <c r="G99" t="s">
        <v>85</v>
      </c>
      <c r="H99" t="s">
        <v>86</v>
      </c>
    </row>
    <row r="100">
      <c r="D100" t="s">
        <v>69</v>
      </c>
      <c r="G100" t="s">
        <v>87</v>
      </c>
      <c r="H100" t="s">
        <v>88</v>
      </c>
    </row>
    <row r="101">
      <c r="D101" t="s">
        <v>69</v>
      </c>
      <c r="G101" t="s">
        <v>89</v>
      </c>
      <c r="H101" t="s">
        <v>90</v>
      </c>
    </row>
    <row r="102">
      <c r="D102" t="s">
        <v>37</v>
      </c>
      <c r="F102" t="s">
        <v>91</v>
      </c>
      <c r="I102" t="s">
        <v>92</v>
      </c>
    </row>
    <row r="103">
      <c r="B103" t="s">
        <v>51</v>
      </c>
    </row>
    <row r="104">
      <c r="B104" t="s">
        <v>50</v>
      </c>
    </row>
    <row r="105">
      <c r="B105" t="s">
        <v>51</v>
      </c>
    </row>
    <row r="106">
      <c r="B106" t="s">
        <v>51</v>
      </c>
    </row>
    <row r="107">
      <c r="B107" t="s">
        <v>51</v>
      </c>
    </row>
    <row r="108">
      <c r="A108" s="4" t="s">
        <v>52</v>
      </c>
      <c r="B108" s="2" t="s">
        <v>34</v>
      </c>
      <c r="C108" s="2" t="s">
        <v>109</v>
      </c>
    </row>
    <row r="109">
      <c r="B109" t="s">
        <v>36</v>
      </c>
    </row>
    <row r="110" ht="29">
      <c r="D110" t="s">
        <v>61</v>
      </c>
      <c r="E110" s="2" t="s">
        <v>62</v>
      </c>
      <c r="F110" t="s">
        <v>110</v>
      </c>
      <c r="G110" s="3" t="s">
        <v>64</v>
      </c>
      <c r="H110" s="3" t="s">
        <v>65</v>
      </c>
      <c r="J110" t="s">
        <v>66</v>
      </c>
      <c r="K110" s="2" t="s">
        <v>67</v>
      </c>
    </row>
    <row r="111">
      <c r="B111" t="s">
        <v>34</v>
      </c>
      <c r="C111" t="s">
        <v>111</v>
      </c>
      <c r="E111" s="2"/>
    </row>
    <row r="112">
      <c r="D112" t="s">
        <v>69</v>
      </c>
      <c r="E112" s="2"/>
      <c r="G112" t="s">
        <v>70</v>
      </c>
      <c r="H112" t="s">
        <v>71</v>
      </c>
    </row>
    <row r="113">
      <c r="D113" t="s">
        <v>37</v>
      </c>
      <c r="E113" s="2"/>
      <c r="F113" t="s">
        <v>110</v>
      </c>
      <c r="I113">
        <v>4</v>
      </c>
    </row>
    <row r="114">
      <c r="B114" t="s">
        <v>51</v>
      </c>
      <c r="E114" s="2"/>
    </row>
    <row r="115">
      <c r="D115" t="s">
        <v>69</v>
      </c>
      <c r="E115" s="2"/>
      <c r="G115" t="s">
        <v>72</v>
      </c>
      <c r="H115" t="s">
        <v>73</v>
      </c>
    </row>
    <row r="116">
      <c r="B116" t="s">
        <v>34</v>
      </c>
      <c r="C116" t="s">
        <v>74</v>
      </c>
    </row>
    <row r="117">
      <c r="D117" t="s">
        <v>69</v>
      </c>
      <c r="G117" t="s">
        <v>75</v>
      </c>
      <c r="H117" t="s">
        <v>76</v>
      </c>
    </row>
    <row r="118">
      <c r="B118" t="s">
        <v>77</v>
      </c>
    </row>
    <row r="119">
      <c r="D119" t="s">
        <v>69</v>
      </c>
      <c r="G119" t="s">
        <v>78</v>
      </c>
      <c r="H119" t="s">
        <v>79</v>
      </c>
    </row>
    <row r="120">
      <c r="B120" t="s">
        <v>51</v>
      </c>
    </row>
    <row r="121">
      <c r="B121" t="s">
        <v>34</v>
      </c>
      <c r="C121" t="s">
        <v>80</v>
      </c>
    </row>
    <row r="122">
      <c r="D122" t="s">
        <v>69</v>
      </c>
      <c r="G122" t="s">
        <v>81</v>
      </c>
      <c r="H122" t="s">
        <v>82</v>
      </c>
    </row>
    <row r="123">
      <c r="B123" t="s">
        <v>77</v>
      </c>
    </row>
    <row r="124">
      <c r="D124" t="s">
        <v>69</v>
      </c>
      <c r="G124" t="s">
        <v>83</v>
      </c>
      <c r="H124" t="s">
        <v>84</v>
      </c>
    </row>
    <row r="125">
      <c r="B125" t="s">
        <v>51</v>
      </c>
    </row>
    <row r="126">
      <c r="D126" t="s">
        <v>69</v>
      </c>
      <c r="E126" s="2"/>
      <c r="G126" t="s">
        <v>85</v>
      </c>
      <c r="H126" t="s">
        <v>86</v>
      </c>
    </row>
    <row r="127">
      <c r="D127" t="s">
        <v>69</v>
      </c>
      <c r="G127" t="s">
        <v>87</v>
      </c>
      <c r="H127" t="s">
        <v>88</v>
      </c>
    </row>
    <row r="128">
      <c r="D128" t="s">
        <v>69</v>
      </c>
      <c r="G128" t="s">
        <v>89</v>
      </c>
      <c r="H128" t="s">
        <v>90</v>
      </c>
    </row>
    <row r="129">
      <c r="D129" t="s">
        <v>37</v>
      </c>
      <c r="F129" t="s">
        <v>91</v>
      </c>
      <c r="I129" t="s">
        <v>112</v>
      </c>
    </row>
    <row r="130">
      <c r="B130" t="s">
        <v>50</v>
      </c>
      <c r="G130" s="6"/>
    </row>
    <row r="131">
      <c r="B131" t="s">
        <v>34</v>
      </c>
      <c r="C131" t="s">
        <v>113</v>
      </c>
      <c r="G131" s="6"/>
    </row>
    <row r="132">
      <c r="B132" t="s">
        <v>36</v>
      </c>
    </row>
    <row r="133">
      <c r="B133" t="s">
        <v>34</v>
      </c>
      <c r="C133" t="s">
        <v>94</v>
      </c>
    </row>
    <row r="134">
      <c r="D134" t="s">
        <v>69</v>
      </c>
      <c r="G134" t="s">
        <v>95</v>
      </c>
      <c r="H134" t="s">
        <v>96</v>
      </c>
    </row>
    <row r="135">
      <c r="D135" t="s">
        <v>37</v>
      </c>
      <c r="F135" t="s">
        <v>114</v>
      </c>
      <c r="I135">
        <v>7</v>
      </c>
    </row>
    <row r="136">
      <c r="B136" t="s">
        <v>77</v>
      </c>
    </row>
    <row r="137" ht="29">
      <c r="D137" t="s">
        <v>61</v>
      </c>
      <c r="E137" t="s">
        <v>62</v>
      </c>
      <c r="F137" t="s">
        <v>114</v>
      </c>
      <c r="G137" s="3" t="s">
        <v>98</v>
      </c>
      <c r="H137" s="3" t="s">
        <v>99</v>
      </c>
      <c r="J137" t="s">
        <v>66</v>
      </c>
      <c r="K137" s="2" t="s">
        <v>67</v>
      </c>
    </row>
    <row r="138">
      <c r="B138" t="s">
        <v>34</v>
      </c>
      <c r="C138" t="s">
        <v>115</v>
      </c>
      <c r="E138" s="2"/>
    </row>
    <row r="139">
      <c r="D139" t="s">
        <v>69</v>
      </c>
      <c r="E139" s="2"/>
      <c r="G139" t="s">
        <v>70</v>
      </c>
      <c r="H139" t="s">
        <v>71</v>
      </c>
    </row>
    <row r="140">
      <c r="D140" t="s">
        <v>37</v>
      </c>
      <c r="E140" s="2"/>
      <c r="F140" t="s">
        <v>114</v>
      </c>
      <c r="I140">
        <v>4</v>
      </c>
    </row>
    <row r="141">
      <c r="B141" t="s">
        <v>51</v>
      </c>
      <c r="E141" s="2"/>
    </row>
    <row r="142">
      <c r="D142" t="s">
        <v>69</v>
      </c>
      <c r="E142" s="2"/>
      <c r="G142" t="s">
        <v>72</v>
      </c>
      <c r="H142" t="s">
        <v>73</v>
      </c>
    </row>
    <row r="143">
      <c r="B143" t="s">
        <v>34</v>
      </c>
      <c r="C143" t="s">
        <v>74</v>
      </c>
    </row>
    <row r="144">
      <c r="D144" t="s">
        <v>69</v>
      </c>
      <c r="G144" t="s">
        <v>75</v>
      </c>
      <c r="H144" t="s">
        <v>76</v>
      </c>
    </row>
    <row r="145">
      <c r="B145" t="s">
        <v>77</v>
      </c>
    </row>
    <row r="146">
      <c r="D146" t="s">
        <v>69</v>
      </c>
      <c r="G146" t="s">
        <v>78</v>
      </c>
      <c r="H146" t="s">
        <v>79</v>
      </c>
    </row>
    <row r="147">
      <c r="B147" t="s">
        <v>51</v>
      </c>
    </row>
    <row r="148">
      <c r="B148" t="s">
        <v>34</v>
      </c>
      <c r="C148" t="s">
        <v>80</v>
      </c>
    </row>
    <row r="149">
      <c r="D149" t="s">
        <v>69</v>
      </c>
      <c r="G149" t="s">
        <v>81</v>
      </c>
      <c r="H149" t="s">
        <v>82</v>
      </c>
    </row>
    <row r="150">
      <c r="B150" t="s">
        <v>77</v>
      </c>
    </row>
    <row r="151">
      <c r="D151" t="s">
        <v>69</v>
      </c>
      <c r="G151" t="s">
        <v>83</v>
      </c>
      <c r="H151" t="s">
        <v>84</v>
      </c>
    </row>
    <row r="152">
      <c r="B152" t="s">
        <v>51</v>
      </c>
    </row>
    <row r="153">
      <c r="D153" t="s">
        <v>69</v>
      </c>
      <c r="E153" s="2"/>
      <c r="G153" t="s">
        <v>85</v>
      </c>
      <c r="H153" t="s">
        <v>86</v>
      </c>
    </row>
    <row r="154">
      <c r="D154" t="s">
        <v>69</v>
      </c>
      <c r="G154" t="s">
        <v>87</v>
      </c>
      <c r="H154" t="s">
        <v>88</v>
      </c>
    </row>
    <row r="155">
      <c r="D155" t="s">
        <v>69</v>
      </c>
      <c r="G155" t="s">
        <v>89</v>
      </c>
      <c r="H155" t="s">
        <v>90</v>
      </c>
    </row>
    <row r="156">
      <c r="D156" t="s">
        <v>37</v>
      </c>
      <c r="F156" t="s">
        <v>91</v>
      </c>
      <c r="I156" t="s">
        <v>112</v>
      </c>
    </row>
    <row r="157">
      <c r="B157" t="s">
        <v>51</v>
      </c>
    </row>
    <row r="158">
      <c r="B158" t="s">
        <v>50</v>
      </c>
    </row>
    <row r="159">
      <c r="B159" t="s">
        <v>34</v>
      </c>
      <c r="C159" t="s">
        <v>116</v>
      </c>
    </row>
    <row r="160">
      <c r="B160" t="s">
        <v>36</v>
      </c>
    </row>
    <row r="161">
      <c r="B161" t="s">
        <v>34</v>
      </c>
      <c r="C161" t="s">
        <v>102</v>
      </c>
    </row>
    <row r="162">
      <c r="D162" t="s">
        <v>69</v>
      </c>
      <c r="G162" t="s">
        <v>103</v>
      </c>
      <c r="H162" t="s">
        <v>104</v>
      </c>
    </row>
    <row r="163">
      <c r="D163" t="s">
        <v>37</v>
      </c>
      <c r="F163" t="s">
        <v>117</v>
      </c>
      <c r="I163">
        <v>7</v>
      </c>
    </row>
    <row r="164">
      <c r="B164" t="s">
        <v>77</v>
      </c>
    </row>
    <row r="165" ht="29">
      <c r="D165" t="s">
        <v>61</v>
      </c>
      <c r="E165" t="s">
        <v>62</v>
      </c>
      <c r="F165" t="s">
        <v>117</v>
      </c>
      <c r="G165" s="3" t="s">
        <v>106</v>
      </c>
      <c r="H165" s="3" t="s">
        <v>107</v>
      </c>
      <c r="J165" t="s">
        <v>66</v>
      </c>
      <c r="K165" s="2" t="s">
        <v>67</v>
      </c>
    </row>
    <row r="166">
      <c r="B166" t="s">
        <v>34</v>
      </c>
      <c r="C166" t="s">
        <v>118</v>
      </c>
      <c r="E166" s="2"/>
    </row>
    <row r="167">
      <c r="D167" t="s">
        <v>69</v>
      </c>
      <c r="E167" s="2"/>
      <c r="G167" t="s">
        <v>70</v>
      </c>
      <c r="H167" t="s">
        <v>71</v>
      </c>
    </row>
    <row r="168">
      <c r="D168" t="s">
        <v>37</v>
      </c>
      <c r="E168" s="2"/>
      <c r="F168" t="s">
        <v>117</v>
      </c>
      <c r="I168">
        <v>4</v>
      </c>
    </row>
    <row r="169">
      <c r="B169" t="s">
        <v>51</v>
      </c>
      <c r="E169" s="2"/>
    </row>
    <row r="170">
      <c r="D170" t="s">
        <v>69</v>
      </c>
      <c r="E170" s="2"/>
      <c r="G170" t="s">
        <v>72</v>
      </c>
      <c r="H170" t="s">
        <v>73</v>
      </c>
    </row>
    <row r="171">
      <c r="B171" t="s">
        <v>34</v>
      </c>
      <c r="C171" t="s">
        <v>74</v>
      </c>
    </row>
    <row r="172">
      <c r="D172" t="s">
        <v>69</v>
      </c>
      <c r="G172" t="s">
        <v>75</v>
      </c>
      <c r="H172" t="s">
        <v>76</v>
      </c>
    </row>
    <row r="173">
      <c r="B173" t="s">
        <v>77</v>
      </c>
    </row>
    <row r="174">
      <c r="D174" t="s">
        <v>69</v>
      </c>
      <c r="G174" t="s">
        <v>78</v>
      </c>
      <c r="H174" t="s">
        <v>79</v>
      </c>
    </row>
    <row r="175">
      <c r="B175" t="s">
        <v>51</v>
      </c>
    </row>
    <row r="176">
      <c r="B176" t="s">
        <v>34</v>
      </c>
      <c r="C176" t="s">
        <v>80</v>
      </c>
    </row>
    <row r="177">
      <c r="D177" t="s">
        <v>69</v>
      </c>
      <c r="G177" t="s">
        <v>81</v>
      </c>
      <c r="H177" t="s">
        <v>82</v>
      </c>
    </row>
    <row r="178">
      <c r="B178" t="s">
        <v>77</v>
      </c>
    </row>
    <row r="179">
      <c r="D179" t="s">
        <v>69</v>
      </c>
      <c r="G179" t="s">
        <v>83</v>
      </c>
      <c r="H179" t="s">
        <v>84</v>
      </c>
    </row>
    <row r="180">
      <c r="B180" t="s">
        <v>51</v>
      </c>
    </row>
    <row r="181">
      <c r="D181" t="s">
        <v>69</v>
      </c>
      <c r="E181" s="2"/>
      <c r="G181" t="s">
        <v>85</v>
      </c>
      <c r="H181" t="s">
        <v>86</v>
      </c>
    </row>
    <row r="182">
      <c r="D182" t="s">
        <v>69</v>
      </c>
      <c r="G182" t="s">
        <v>87</v>
      </c>
      <c r="H182" t="s">
        <v>88</v>
      </c>
    </row>
    <row r="183">
      <c r="D183" t="s">
        <v>69</v>
      </c>
      <c r="G183" t="s">
        <v>89</v>
      </c>
      <c r="H183" t="s">
        <v>90</v>
      </c>
    </row>
    <row r="184">
      <c r="D184" t="s">
        <v>37</v>
      </c>
      <c r="F184" t="s">
        <v>91</v>
      </c>
      <c r="I184" t="s">
        <v>112</v>
      </c>
    </row>
    <row r="185">
      <c r="B185" t="s">
        <v>51</v>
      </c>
    </row>
    <row r="186">
      <c r="B186" t="s">
        <v>50</v>
      </c>
    </row>
    <row r="187">
      <c r="B187" t="s">
        <v>51</v>
      </c>
    </row>
    <row r="188">
      <c r="B188" t="s">
        <v>51</v>
      </c>
    </row>
    <row r="189">
      <c r="B189" t="s">
        <v>51</v>
      </c>
    </row>
    <row r="190" s="2" customFormat="1">
      <c r="A190" s="5" t="s">
        <v>56</v>
      </c>
      <c r="B190" s="2" t="s">
        <v>34</v>
      </c>
      <c r="C190" s="2" t="s">
        <v>119</v>
      </c>
    </row>
    <row r="191">
      <c r="B191" t="s">
        <v>36</v>
      </c>
    </row>
    <row r="192" ht="29">
      <c r="D192" t="s">
        <v>61</v>
      </c>
      <c r="E192" s="2" t="s">
        <v>62</v>
      </c>
      <c r="F192" t="s">
        <v>120</v>
      </c>
      <c r="G192" s="3" t="s">
        <v>64</v>
      </c>
      <c r="H192" s="3" t="s">
        <v>65</v>
      </c>
      <c r="J192" t="s">
        <v>66</v>
      </c>
      <c r="K192" s="2" t="s">
        <v>67</v>
      </c>
    </row>
    <row r="193">
      <c r="B193" t="s">
        <v>34</v>
      </c>
      <c r="C193" t="s">
        <v>121</v>
      </c>
      <c r="E193" s="2"/>
    </row>
    <row r="194">
      <c r="D194" t="s">
        <v>69</v>
      </c>
      <c r="E194" s="2"/>
      <c r="G194" t="s">
        <v>70</v>
      </c>
      <c r="H194" t="s">
        <v>71</v>
      </c>
    </row>
    <row r="195">
      <c r="D195" t="s">
        <v>37</v>
      </c>
      <c r="E195" s="2"/>
      <c r="F195" t="s">
        <v>120</v>
      </c>
      <c r="I195">
        <v>4</v>
      </c>
    </row>
    <row r="196">
      <c r="B196" t="s">
        <v>51</v>
      </c>
      <c r="E196" s="2"/>
    </row>
    <row r="197">
      <c r="D197" t="s">
        <v>69</v>
      </c>
      <c r="E197" s="2"/>
      <c r="G197" t="s">
        <v>72</v>
      </c>
      <c r="H197" t="s">
        <v>73</v>
      </c>
    </row>
    <row r="198">
      <c r="B198" t="s">
        <v>34</v>
      </c>
      <c r="C198" t="s">
        <v>74</v>
      </c>
    </row>
    <row r="199">
      <c r="D199" t="s">
        <v>69</v>
      </c>
      <c r="G199" t="s">
        <v>75</v>
      </c>
      <c r="H199" t="s">
        <v>76</v>
      </c>
    </row>
    <row r="200">
      <c r="B200" t="s">
        <v>77</v>
      </c>
    </row>
    <row r="201">
      <c r="D201" t="s">
        <v>69</v>
      </c>
      <c r="G201" t="s">
        <v>78</v>
      </c>
      <c r="H201" t="s">
        <v>79</v>
      </c>
    </row>
    <row r="202">
      <c r="B202" t="s">
        <v>51</v>
      </c>
    </row>
    <row r="203">
      <c r="B203" t="s">
        <v>34</v>
      </c>
      <c r="C203" t="s">
        <v>80</v>
      </c>
    </row>
    <row r="204">
      <c r="D204" t="s">
        <v>69</v>
      </c>
      <c r="G204" t="s">
        <v>81</v>
      </c>
      <c r="H204" t="s">
        <v>82</v>
      </c>
    </row>
    <row r="205">
      <c r="B205" t="s">
        <v>77</v>
      </c>
    </row>
    <row r="206">
      <c r="D206" t="s">
        <v>69</v>
      </c>
      <c r="G206" t="s">
        <v>83</v>
      </c>
      <c r="H206" t="s">
        <v>84</v>
      </c>
    </row>
    <row r="207">
      <c r="B207" t="s">
        <v>51</v>
      </c>
    </row>
    <row r="208">
      <c r="D208" t="s">
        <v>69</v>
      </c>
      <c r="E208" s="2"/>
      <c r="G208" t="s">
        <v>85</v>
      </c>
      <c r="H208" t="s">
        <v>86</v>
      </c>
    </row>
    <row r="209">
      <c r="D209" t="s">
        <v>69</v>
      </c>
      <c r="G209" t="s">
        <v>87</v>
      </c>
      <c r="H209" t="s">
        <v>88</v>
      </c>
    </row>
    <row r="210">
      <c r="D210" t="s">
        <v>69</v>
      </c>
      <c r="G210" t="s">
        <v>89</v>
      </c>
      <c r="H210" t="s">
        <v>90</v>
      </c>
    </row>
    <row r="211">
      <c r="D211" t="s">
        <v>37</v>
      </c>
      <c r="F211" t="s">
        <v>91</v>
      </c>
      <c r="I211" t="s">
        <v>122</v>
      </c>
    </row>
    <row r="212">
      <c r="B212" t="s">
        <v>50</v>
      </c>
      <c r="G212" s="6"/>
    </row>
    <row r="213">
      <c r="B213" t="s">
        <v>34</v>
      </c>
      <c r="C213" t="s">
        <v>123</v>
      </c>
      <c r="G213" s="6"/>
    </row>
    <row r="214">
      <c r="B214" t="s">
        <v>36</v>
      </c>
    </row>
    <row r="215">
      <c r="B215" t="s">
        <v>34</v>
      </c>
      <c r="C215" t="s">
        <v>94</v>
      </c>
    </row>
    <row r="216">
      <c r="D216" t="s">
        <v>69</v>
      </c>
      <c r="G216" t="s">
        <v>95</v>
      </c>
      <c r="H216" t="s">
        <v>96</v>
      </c>
    </row>
    <row r="217">
      <c r="D217" t="s">
        <v>37</v>
      </c>
      <c r="F217" t="s">
        <v>124</v>
      </c>
      <c r="I217">
        <v>7</v>
      </c>
    </row>
    <row r="218">
      <c r="B218" t="s">
        <v>77</v>
      </c>
    </row>
    <row r="219" ht="29">
      <c r="D219" t="s">
        <v>61</v>
      </c>
      <c r="E219" t="s">
        <v>62</v>
      </c>
      <c r="F219" t="s">
        <v>124</v>
      </c>
      <c r="G219" s="3" t="s">
        <v>98</v>
      </c>
      <c r="H219" s="3" t="s">
        <v>99</v>
      </c>
      <c r="J219" t="s">
        <v>66</v>
      </c>
      <c r="K219" s="2" t="s">
        <v>67</v>
      </c>
    </row>
    <row r="220">
      <c r="B220" t="s">
        <v>34</v>
      </c>
      <c r="C220" t="s">
        <v>125</v>
      </c>
      <c r="E220" s="2"/>
    </row>
    <row r="221">
      <c r="D221" t="s">
        <v>69</v>
      </c>
      <c r="E221" s="2"/>
      <c r="G221" t="s">
        <v>70</v>
      </c>
      <c r="H221" t="s">
        <v>71</v>
      </c>
    </row>
    <row r="222">
      <c r="D222" t="s">
        <v>37</v>
      </c>
      <c r="E222" s="2"/>
      <c r="F222" t="s">
        <v>124</v>
      </c>
      <c r="I222">
        <v>4</v>
      </c>
    </row>
    <row r="223">
      <c r="B223" t="s">
        <v>51</v>
      </c>
      <c r="E223" s="2"/>
    </row>
    <row r="224">
      <c r="D224" t="s">
        <v>69</v>
      </c>
      <c r="E224" s="2"/>
      <c r="G224" t="s">
        <v>72</v>
      </c>
      <c r="H224" t="s">
        <v>73</v>
      </c>
    </row>
    <row r="225">
      <c r="B225" t="s">
        <v>34</v>
      </c>
      <c r="C225" t="s">
        <v>74</v>
      </c>
    </row>
    <row r="226">
      <c r="D226" t="s">
        <v>69</v>
      </c>
      <c r="G226" t="s">
        <v>75</v>
      </c>
      <c r="H226" t="s">
        <v>76</v>
      </c>
    </row>
    <row r="227">
      <c r="B227" t="s">
        <v>77</v>
      </c>
    </row>
    <row r="228">
      <c r="D228" t="s">
        <v>69</v>
      </c>
      <c r="G228" t="s">
        <v>78</v>
      </c>
      <c r="H228" t="s">
        <v>79</v>
      </c>
    </row>
    <row r="229">
      <c r="B229" t="s">
        <v>51</v>
      </c>
    </row>
    <row r="230">
      <c r="B230" t="s">
        <v>34</v>
      </c>
      <c r="C230" t="s">
        <v>80</v>
      </c>
    </row>
    <row r="231">
      <c r="D231" t="s">
        <v>69</v>
      </c>
      <c r="G231" t="s">
        <v>81</v>
      </c>
      <c r="H231" t="s">
        <v>82</v>
      </c>
    </row>
    <row r="232">
      <c r="B232" t="s">
        <v>77</v>
      </c>
    </row>
    <row r="233">
      <c r="D233" t="s">
        <v>69</v>
      </c>
      <c r="G233" t="s">
        <v>83</v>
      </c>
      <c r="H233" t="s">
        <v>84</v>
      </c>
    </row>
    <row r="234">
      <c r="B234" t="s">
        <v>51</v>
      </c>
    </row>
    <row r="235">
      <c r="D235" t="s">
        <v>69</v>
      </c>
      <c r="E235" s="2"/>
      <c r="G235" t="s">
        <v>85</v>
      </c>
      <c r="H235" t="s">
        <v>86</v>
      </c>
    </row>
    <row r="236">
      <c r="D236" t="s">
        <v>69</v>
      </c>
      <c r="G236" t="s">
        <v>87</v>
      </c>
      <c r="H236" t="s">
        <v>88</v>
      </c>
    </row>
    <row r="237">
      <c r="D237" t="s">
        <v>69</v>
      </c>
      <c r="G237" t="s">
        <v>89</v>
      </c>
      <c r="H237" t="s">
        <v>90</v>
      </c>
    </row>
    <row r="238">
      <c r="D238" t="s">
        <v>37</v>
      </c>
      <c r="F238" t="s">
        <v>91</v>
      </c>
      <c r="I238" t="s">
        <v>122</v>
      </c>
    </row>
    <row r="239">
      <c r="B239" t="s">
        <v>51</v>
      </c>
    </row>
    <row r="240">
      <c r="B240" t="s">
        <v>50</v>
      </c>
    </row>
    <row r="241">
      <c r="B241" t="s">
        <v>34</v>
      </c>
      <c r="C241" t="s">
        <v>126</v>
      </c>
    </row>
    <row r="242">
      <c r="B242" t="s">
        <v>36</v>
      </c>
    </row>
    <row r="243">
      <c r="B243" t="s">
        <v>34</v>
      </c>
      <c r="C243" t="s">
        <v>102</v>
      </c>
    </row>
    <row r="244">
      <c r="D244" t="s">
        <v>69</v>
      </c>
      <c r="G244" t="s">
        <v>103</v>
      </c>
      <c r="H244" t="s">
        <v>104</v>
      </c>
    </row>
    <row r="245">
      <c r="D245" t="s">
        <v>37</v>
      </c>
      <c r="F245" t="s">
        <v>127</v>
      </c>
      <c r="I245">
        <v>7</v>
      </c>
    </row>
    <row r="246">
      <c r="B246" t="s">
        <v>77</v>
      </c>
    </row>
    <row r="247" ht="29">
      <c r="D247" t="s">
        <v>61</v>
      </c>
      <c r="E247" t="s">
        <v>62</v>
      </c>
      <c r="F247" t="s">
        <v>127</v>
      </c>
      <c r="G247" s="3" t="s">
        <v>106</v>
      </c>
      <c r="H247" s="3" t="s">
        <v>107</v>
      </c>
      <c r="J247" t="s">
        <v>66</v>
      </c>
      <c r="K247" s="2" t="s">
        <v>67</v>
      </c>
    </row>
    <row r="248">
      <c r="B248" t="s">
        <v>34</v>
      </c>
      <c r="C248" t="s">
        <v>128</v>
      </c>
      <c r="E248" s="2"/>
    </row>
    <row r="249">
      <c r="D249" t="s">
        <v>69</v>
      </c>
      <c r="E249" s="2"/>
      <c r="G249" t="s">
        <v>70</v>
      </c>
      <c r="H249" t="s">
        <v>71</v>
      </c>
    </row>
    <row r="250">
      <c r="D250" t="s">
        <v>37</v>
      </c>
      <c r="E250" s="2"/>
      <c r="F250" t="s">
        <v>127</v>
      </c>
      <c r="I250">
        <v>4</v>
      </c>
    </row>
    <row r="251">
      <c r="B251" t="s">
        <v>51</v>
      </c>
      <c r="E251" s="2"/>
    </row>
    <row r="252">
      <c r="D252" t="s">
        <v>69</v>
      </c>
      <c r="E252" s="2"/>
      <c r="G252" t="s">
        <v>72</v>
      </c>
      <c r="H252" t="s">
        <v>73</v>
      </c>
    </row>
    <row r="253">
      <c r="B253" t="s">
        <v>34</v>
      </c>
      <c r="C253" t="s">
        <v>74</v>
      </c>
    </row>
    <row r="254">
      <c r="D254" t="s">
        <v>69</v>
      </c>
      <c r="G254" t="s">
        <v>75</v>
      </c>
      <c r="H254" t="s">
        <v>76</v>
      </c>
    </row>
    <row r="255">
      <c r="B255" t="s">
        <v>77</v>
      </c>
    </row>
    <row r="256">
      <c r="D256" t="s">
        <v>69</v>
      </c>
      <c r="G256" t="s">
        <v>78</v>
      </c>
      <c r="H256" t="s">
        <v>79</v>
      </c>
    </row>
    <row r="257">
      <c r="B257" t="s">
        <v>51</v>
      </c>
    </row>
    <row r="258">
      <c r="B258" t="s">
        <v>34</v>
      </c>
      <c r="C258" t="s">
        <v>80</v>
      </c>
    </row>
    <row r="259">
      <c r="D259" t="s">
        <v>69</v>
      </c>
      <c r="G259" t="s">
        <v>81</v>
      </c>
      <c r="H259" t="s">
        <v>82</v>
      </c>
    </row>
    <row r="260">
      <c r="B260" t="s">
        <v>77</v>
      </c>
    </row>
    <row r="261">
      <c r="D261" t="s">
        <v>69</v>
      </c>
      <c r="G261" t="s">
        <v>83</v>
      </c>
      <c r="H261" t="s">
        <v>84</v>
      </c>
    </row>
    <row r="262">
      <c r="B262" t="s">
        <v>51</v>
      </c>
    </row>
    <row r="263">
      <c r="D263" t="s">
        <v>69</v>
      </c>
      <c r="E263" s="2"/>
      <c r="G263" t="s">
        <v>85</v>
      </c>
      <c r="H263" t="s">
        <v>86</v>
      </c>
    </row>
    <row r="264">
      <c r="D264" t="s">
        <v>69</v>
      </c>
      <c r="G264" t="s">
        <v>87</v>
      </c>
      <c r="H264" t="s">
        <v>88</v>
      </c>
    </row>
    <row r="265">
      <c r="D265" t="s">
        <v>69</v>
      </c>
      <c r="G265" t="s">
        <v>89</v>
      </c>
      <c r="H265" t="s">
        <v>90</v>
      </c>
    </row>
    <row r="266">
      <c r="D266" t="s">
        <v>37</v>
      </c>
      <c r="F266" t="s">
        <v>91</v>
      </c>
      <c r="I266" t="s">
        <v>122</v>
      </c>
    </row>
    <row r="267">
      <c r="B267" t="s">
        <v>51</v>
      </c>
    </row>
    <row r="268">
      <c r="B268" t="s">
        <v>50</v>
      </c>
    </row>
    <row r="269">
      <c r="B269" t="s">
        <v>51</v>
      </c>
    </row>
    <row r="270">
      <c r="B270" t="s">
        <v>51</v>
      </c>
    </row>
    <row r="271">
      <c r="B271" t="s">
        <v>51</v>
      </c>
    </row>
    <row r="272">
      <c r="B272" t="s">
        <v>34</v>
      </c>
      <c r="C272" t="s">
        <v>129</v>
      </c>
    </row>
    <row r="273">
      <c r="B273" t="s">
        <v>130</v>
      </c>
    </row>
    <row r="274">
      <c r="B274" t="s">
        <v>51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G29" activeCellId="0" sqref="G29"/>
    </sheetView>
  </sheetViews>
  <sheetFormatPr defaultRowHeight="14.25"/>
  <cols>
    <col bestFit="1" customWidth="1" min="1" max="1" width="12.453125"/>
    <col bestFit="1" customWidth="1" min="2" max="2" width="12.26953125"/>
    <col customWidth="1" min="3" max="3" width="32.81640625"/>
    <col bestFit="1" customWidth="1" min="4" max="4" width="22"/>
    <col bestFit="1" customWidth="1" min="5" max="5" width="16.7265625"/>
    <col bestFit="1" customWidth="1" min="6" max="6" width="13.7265625"/>
    <col customWidth="1" min="7" max="7" width="45.54296875"/>
    <col customWidth="1" min="8" max="8" width="35.453125"/>
    <col bestFit="1" customWidth="1" min="9" max="9" width="19"/>
    <col customWidth="1" min="10" max="10" width="30.7265625"/>
    <col bestFit="1" customWidth="1" min="11" max="11" width="37.453125"/>
    <col bestFit="1" customWidth="1" min="12" max="12" width="30.26953125"/>
    <col bestFit="1" customWidth="1" min="13" max="13" width="23"/>
    <col customWidth="1" min="14" max="14" width="27.453125"/>
    <col bestFit="1" customWidth="1" min="15" max="15" width="31.7265625"/>
  </cols>
  <sheetData>
    <row r="1" s="1" customFormat="1">
      <c r="A1" s="7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7" t="s">
        <v>29</v>
      </c>
      <c r="J1" s="1" t="s">
        <v>131</v>
      </c>
      <c r="K1" s="1" t="s">
        <v>132</v>
      </c>
      <c r="L1" s="1" t="s">
        <v>133</v>
      </c>
      <c r="M1" s="1" t="s">
        <v>30</v>
      </c>
      <c r="N1" s="1" t="s">
        <v>31</v>
      </c>
      <c r="O1" s="1" t="s">
        <v>134</v>
      </c>
    </row>
    <row r="2">
      <c r="B2" t="s">
        <v>36</v>
      </c>
    </row>
    <row r="3">
      <c r="D3" t="s">
        <v>40</v>
      </c>
      <c r="E3" t="s">
        <v>135</v>
      </c>
      <c r="F3" t="s">
        <v>136</v>
      </c>
      <c r="G3" t="s">
        <v>137</v>
      </c>
      <c r="H3" t="s">
        <v>138</v>
      </c>
    </row>
    <row r="4">
      <c r="B4" t="s">
        <v>50</v>
      </c>
    </row>
    <row r="5">
      <c r="B5" t="s">
        <v>36</v>
      </c>
    </row>
    <row r="6">
      <c r="D6" t="s">
        <v>61</v>
      </c>
      <c r="E6" s="8" t="s">
        <v>139</v>
      </c>
      <c r="F6" t="s">
        <v>140</v>
      </c>
      <c r="G6" t="s">
        <v>141</v>
      </c>
      <c r="H6" s="2" t="s">
        <v>142</v>
      </c>
    </row>
    <row r="7">
      <c r="B7" t="s">
        <v>34</v>
      </c>
      <c r="C7" t="s">
        <v>143</v>
      </c>
    </row>
    <row r="8">
      <c r="D8" t="s">
        <v>47</v>
      </c>
      <c r="F8" t="s">
        <v>144</v>
      </c>
      <c r="G8" t="s">
        <v>145</v>
      </c>
      <c r="H8" t="s">
        <v>146</v>
      </c>
      <c r="J8" t="s">
        <v>147</v>
      </c>
      <c r="K8" t="s">
        <v>148</v>
      </c>
      <c r="L8" t="s">
        <v>149</v>
      </c>
    </row>
    <row r="9">
      <c r="D9" t="s">
        <v>150</v>
      </c>
      <c r="E9" t="s">
        <v>151</v>
      </c>
      <c r="F9" t="s">
        <v>152</v>
      </c>
    </row>
    <row r="10">
      <c r="B10" t="s">
        <v>34</v>
      </c>
      <c r="C10" t="s">
        <v>153</v>
      </c>
    </row>
    <row r="11">
      <c r="D11" t="s">
        <v>37</v>
      </c>
      <c r="F11" t="s">
        <v>144</v>
      </c>
      <c r="I11" s="9" t="s">
        <v>154</v>
      </c>
    </row>
    <row r="12">
      <c r="B12" t="s">
        <v>51</v>
      </c>
    </row>
    <row r="13">
      <c r="B13" t="s">
        <v>34</v>
      </c>
      <c r="C13" t="s">
        <v>155</v>
      </c>
    </row>
    <row r="14">
      <c r="D14" t="s">
        <v>156</v>
      </c>
      <c r="F14" t="s">
        <v>157</v>
      </c>
      <c r="G14" t="s">
        <v>158</v>
      </c>
      <c r="H14" t="s">
        <v>159</v>
      </c>
    </row>
    <row r="15">
      <c r="D15" t="s">
        <v>156</v>
      </c>
      <c r="F15" t="s">
        <v>160</v>
      </c>
      <c r="G15" t="s">
        <v>161</v>
      </c>
      <c r="H15" t="s">
        <v>162</v>
      </c>
      <c r="J15" t="s">
        <v>163</v>
      </c>
      <c r="K15" t="s">
        <v>164</v>
      </c>
      <c r="L15" t="s">
        <v>165</v>
      </c>
    </row>
    <row r="16">
      <c r="B16" t="s">
        <v>51</v>
      </c>
    </row>
    <row r="17">
      <c r="B17" t="s">
        <v>51</v>
      </c>
    </row>
    <row r="18">
      <c r="B18" t="s">
        <v>50</v>
      </c>
    </row>
    <row r="19">
      <c r="A19" s="8"/>
      <c r="B19" s="8" t="s">
        <v>166</v>
      </c>
      <c r="C19" s="8"/>
      <c r="D19" s="8"/>
      <c r="E19" s="8"/>
      <c r="F19" s="8"/>
      <c r="G19" s="8"/>
      <c r="H19" s="8"/>
      <c r="I19" s="8"/>
      <c r="J19" s="8"/>
      <c r="K19" s="8"/>
      <c r="L19" s="10"/>
      <c r="M19" s="10"/>
      <c r="N19" s="10"/>
      <c r="O19" s="10"/>
      <c r="P19" s="10"/>
    </row>
    <row r="20">
      <c r="A20" s="8"/>
      <c r="B20" s="8"/>
      <c r="C20" s="8"/>
      <c r="D20" s="8" t="s">
        <v>69</v>
      </c>
      <c r="E20" s="8"/>
      <c r="F20" s="8"/>
      <c r="G20" s="8" t="s">
        <v>167</v>
      </c>
      <c r="H20" s="8" t="s">
        <v>168</v>
      </c>
      <c r="I20" s="8"/>
      <c r="J20" s="8"/>
      <c r="K20" s="8"/>
      <c r="L20" s="10"/>
      <c r="M20" s="10"/>
      <c r="N20" s="10"/>
      <c r="O20" s="10"/>
      <c r="P20" s="10"/>
    </row>
    <row r="21">
      <c r="A21" s="8"/>
      <c r="B21" s="8"/>
      <c r="C21" s="8"/>
      <c r="D21" s="8" t="s">
        <v>169</v>
      </c>
      <c r="E21" s="8" t="s">
        <v>139</v>
      </c>
      <c r="F21" s="8" t="s">
        <v>170</v>
      </c>
      <c r="G21" s="8" t="s">
        <v>171</v>
      </c>
      <c r="H21" s="8" t="s">
        <v>172</v>
      </c>
      <c r="I21" s="8"/>
      <c r="J21" s="8"/>
      <c r="K21" s="8"/>
      <c r="L21" s="10"/>
      <c r="M21" s="10"/>
      <c r="N21" s="10"/>
      <c r="O21" s="10"/>
      <c r="P21" s="10"/>
    </row>
    <row r="22">
      <c r="A22" s="8"/>
      <c r="B22" s="8" t="s">
        <v>34</v>
      </c>
      <c r="C22" s="8" t="s">
        <v>173</v>
      </c>
      <c r="D22" s="8"/>
      <c r="E22" s="8"/>
      <c r="F22" s="8"/>
      <c r="G22" s="8"/>
      <c r="H22" s="8"/>
      <c r="I22" s="8"/>
      <c r="J22" s="8"/>
      <c r="K22" s="8"/>
      <c r="L22" s="10"/>
      <c r="M22" s="10"/>
      <c r="N22" s="10"/>
      <c r="O22" s="10"/>
      <c r="P22" s="10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10"/>
      <c r="M23" s="10"/>
      <c r="N23" s="10"/>
      <c r="O23" s="10"/>
      <c r="P23" s="10"/>
    </row>
    <row r="24">
      <c r="A24" s="8"/>
      <c r="B24" s="8"/>
      <c r="C24" s="8"/>
      <c r="D24" s="8" t="s">
        <v>150</v>
      </c>
      <c r="E24" s="8" t="s">
        <v>174</v>
      </c>
      <c r="F24" s="8" t="s">
        <v>175</v>
      </c>
      <c r="G24" s="8" t="s">
        <v>176</v>
      </c>
      <c r="H24" s="8" t="s">
        <v>177</v>
      </c>
      <c r="I24" s="8"/>
      <c r="J24" s="11" t="s">
        <v>178</v>
      </c>
      <c r="K24" s="8"/>
      <c r="L24" s="10"/>
      <c r="M24" s="10"/>
      <c r="N24" s="10"/>
      <c r="O24" s="10"/>
      <c r="P24" s="10"/>
    </row>
    <row r="25">
      <c r="A25" s="8"/>
      <c r="B25" s="8" t="s">
        <v>51</v>
      </c>
      <c r="C25" s="8"/>
      <c r="D25" s="8"/>
      <c r="E25" s="8"/>
      <c r="F25" s="8"/>
      <c r="G25" s="8"/>
      <c r="H25" s="8"/>
      <c r="I25" s="8"/>
      <c r="J25" s="8"/>
      <c r="K25" s="8"/>
      <c r="L25" s="10"/>
      <c r="M25" s="10"/>
      <c r="N25" s="10"/>
      <c r="O25" s="10"/>
      <c r="P25" s="10"/>
    </row>
    <row r="26">
      <c r="A26" s="8"/>
      <c r="B26" s="8" t="s">
        <v>50</v>
      </c>
      <c r="C26" s="8"/>
      <c r="D26" s="8"/>
      <c r="E26" s="8"/>
      <c r="F26" s="8"/>
      <c r="G26" s="8"/>
      <c r="H26" s="8"/>
      <c r="I26" s="8"/>
      <c r="J26" s="8"/>
      <c r="K26" s="8"/>
      <c r="L26" s="10"/>
      <c r="M26" s="10"/>
      <c r="N26" s="10"/>
      <c r="O26" s="10"/>
      <c r="P26" s="10"/>
    </row>
    <row r="27">
      <c r="A27" s="8"/>
      <c r="B27" s="8" t="s">
        <v>36</v>
      </c>
      <c r="C27" s="8"/>
      <c r="D27" s="8"/>
      <c r="E27" s="8"/>
      <c r="F27" s="8"/>
      <c r="G27" s="8"/>
      <c r="H27" s="8"/>
      <c r="I27" s="8"/>
      <c r="J27" s="8"/>
      <c r="K27" s="8"/>
      <c r="L27" s="10"/>
      <c r="M27" s="10"/>
      <c r="N27" s="10"/>
      <c r="O27" s="10"/>
      <c r="P27" s="10"/>
    </row>
    <row r="28">
      <c r="A28" s="8"/>
      <c r="B28" s="8"/>
      <c r="C28" s="8"/>
      <c r="D28" s="8" t="s">
        <v>69</v>
      </c>
      <c r="E28" s="8"/>
      <c r="F28" s="8"/>
      <c r="G28" s="8" t="s">
        <v>167</v>
      </c>
      <c r="H28" s="8" t="s">
        <v>168</v>
      </c>
      <c r="I28" s="8"/>
      <c r="J28" s="8"/>
      <c r="K28" s="8"/>
      <c r="L28" s="10"/>
      <c r="M28" s="10"/>
      <c r="N28" s="10"/>
      <c r="O28" s="10"/>
      <c r="P28" s="10"/>
    </row>
    <row r="29">
      <c r="A29" s="8"/>
      <c r="B29" s="8"/>
      <c r="C29" s="8"/>
      <c r="D29" s="8" t="s">
        <v>61</v>
      </c>
      <c r="E29" s="8" t="s">
        <v>139</v>
      </c>
      <c r="F29" s="8" t="s">
        <v>179</v>
      </c>
      <c r="G29" s="8" t="s">
        <v>180</v>
      </c>
      <c r="H29" s="8" t="s">
        <v>181</v>
      </c>
      <c r="I29" s="8"/>
      <c r="J29" s="8"/>
      <c r="K29" s="8"/>
      <c r="L29" s="10"/>
      <c r="M29" s="10"/>
      <c r="N29" s="10"/>
      <c r="O29" s="10"/>
      <c r="P29" s="10"/>
    </row>
    <row r="30">
      <c r="A30" s="8"/>
      <c r="B30" s="8" t="s">
        <v>34</v>
      </c>
      <c r="C30" s="8" t="s">
        <v>182</v>
      </c>
      <c r="D30" s="8"/>
      <c r="E30" s="8"/>
      <c r="F30" s="8"/>
      <c r="G30" s="8"/>
      <c r="H30" s="8"/>
      <c r="I30" s="8"/>
      <c r="J30" s="8"/>
      <c r="K30" s="8"/>
      <c r="L30" s="10"/>
      <c r="M30" s="10"/>
      <c r="N30" s="10"/>
      <c r="O30" s="10"/>
      <c r="P30" s="10"/>
    </row>
    <row r="31">
      <c r="A31" s="8"/>
      <c r="B31" s="8"/>
      <c r="C31" s="8"/>
      <c r="D31" s="8" t="s">
        <v>150</v>
      </c>
      <c r="E31" s="8" t="s">
        <v>174</v>
      </c>
      <c r="F31" s="8" t="s">
        <v>183</v>
      </c>
      <c r="G31" s="10" t="s">
        <v>176</v>
      </c>
      <c r="H31" s="10" t="s">
        <v>177</v>
      </c>
      <c r="I31" s="10"/>
      <c r="J31" s="11" t="s">
        <v>178</v>
      </c>
      <c r="K31" s="10"/>
      <c r="L31" s="10"/>
      <c r="M31" s="10"/>
      <c r="N31" s="10"/>
      <c r="O31" s="10"/>
      <c r="P31" s="10"/>
    </row>
    <row r="32">
      <c r="A32" s="8"/>
      <c r="B32" s="10" t="s">
        <v>51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>
      <c r="A33" s="8"/>
      <c r="B33" s="8" t="s">
        <v>50</v>
      </c>
      <c r="C33" s="8"/>
      <c r="D33" s="8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>
      <c r="A34" s="8"/>
      <c r="B34" s="8" t="s">
        <v>166</v>
      </c>
      <c r="C34" s="8"/>
      <c r="D34" s="8"/>
      <c r="E34" s="8"/>
      <c r="F34" s="8"/>
      <c r="G34" s="8"/>
      <c r="H34" s="8"/>
      <c r="I34" s="8"/>
      <c r="J34" s="8"/>
      <c r="K34" s="8"/>
      <c r="L34" s="10"/>
      <c r="M34" s="10"/>
      <c r="N34" s="10"/>
      <c r="O34" s="10"/>
      <c r="P34" s="10"/>
    </row>
    <row r="35">
      <c r="A35" s="8"/>
      <c r="B35" s="8"/>
      <c r="C35" s="8"/>
      <c r="D35" s="8" t="s">
        <v>69</v>
      </c>
      <c r="E35" s="8"/>
      <c r="F35" s="8"/>
      <c r="G35" s="8" t="s">
        <v>167</v>
      </c>
      <c r="H35" s="8" t="s">
        <v>168</v>
      </c>
      <c r="I35" s="8"/>
      <c r="J35" s="8"/>
      <c r="K35" s="8"/>
      <c r="L35" s="10"/>
      <c r="M35" s="10"/>
      <c r="N35" s="10"/>
      <c r="O35" s="10"/>
      <c r="P35" s="10"/>
    </row>
    <row r="36">
      <c r="A36" s="8"/>
      <c r="B36" s="8"/>
      <c r="C36" s="8"/>
      <c r="D36" s="8" t="s">
        <v>61</v>
      </c>
      <c r="E36" s="8" t="s">
        <v>139</v>
      </c>
      <c r="F36" s="8" t="s">
        <v>184</v>
      </c>
      <c r="G36" s="8" t="s">
        <v>185</v>
      </c>
      <c r="H36" s="8" t="s">
        <v>186</v>
      </c>
      <c r="I36" s="8"/>
      <c r="J36" s="8"/>
      <c r="K36" s="8"/>
      <c r="L36" s="10"/>
      <c r="M36" s="10"/>
      <c r="N36" s="10"/>
      <c r="O36" s="10"/>
      <c r="P36" s="10"/>
    </row>
    <row r="37">
      <c r="A37" s="8"/>
      <c r="B37" s="8" t="s">
        <v>34</v>
      </c>
      <c r="C37" s="8" t="s">
        <v>187</v>
      </c>
      <c r="D37" s="8"/>
      <c r="E37" s="8"/>
      <c r="F37" s="8"/>
      <c r="G37" s="8"/>
      <c r="H37" s="8"/>
      <c r="I37" s="8"/>
      <c r="J37" s="8"/>
      <c r="K37" s="8"/>
      <c r="L37" s="10"/>
      <c r="M37" s="10"/>
      <c r="N37" s="10"/>
      <c r="O37" s="10"/>
      <c r="P37" s="10"/>
    </row>
    <row r="38">
      <c r="A38" s="8"/>
      <c r="B38" s="8"/>
      <c r="C38" s="8"/>
      <c r="D38" s="8" t="s">
        <v>188</v>
      </c>
      <c r="E38" s="8" t="s">
        <v>174</v>
      </c>
      <c r="F38" s="8" t="s">
        <v>189</v>
      </c>
      <c r="G38" s="8" t="s">
        <v>176</v>
      </c>
      <c r="H38" s="8" t="s">
        <v>177</v>
      </c>
      <c r="I38" s="8"/>
      <c r="J38" s="11" t="s">
        <v>178</v>
      </c>
      <c r="K38" s="8"/>
      <c r="L38" s="10"/>
      <c r="M38" s="10"/>
      <c r="N38" s="10"/>
      <c r="O38" s="10"/>
      <c r="P38" s="10"/>
    </row>
    <row r="39">
      <c r="A39" s="8"/>
      <c r="B39" s="8" t="s">
        <v>51</v>
      </c>
      <c r="C39" s="8"/>
      <c r="D39" s="8"/>
      <c r="E39" s="8"/>
      <c r="F39" s="8"/>
      <c r="G39" s="8"/>
      <c r="H39" s="8"/>
      <c r="I39" s="8"/>
      <c r="J39" s="8"/>
      <c r="K39" s="8"/>
      <c r="L39" s="10"/>
      <c r="M39" s="10"/>
      <c r="N39" s="10"/>
      <c r="O39" s="10"/>
      <c r="P39" s="10"/>
    </row>
    <row r="40">
      <c r="A40" s="8"/>
      <c r="B40" s="8" t="s">
        <v>50</v>
      </c>
      <c r="C40" s="8"/>
      <c r="D40" s="8"/>
      <c r="E40" s="8"/>
      <c r="F40" s="8"/>
      <c r="G40" s="8"/>
      <c r="H40" s="8"/>
      <c r="I40" s="8"/>
      <c r="J40" s="8"/>
      <c r="K40" s="8"/>
      <c r="L40" s="10"/>
      <c r="M40" s="10"/>
      <c r="N40" s="10"/>
      <c r="O40" s="10"/>
      <c r="P40" s="10"/>
    </row>
    <row r="41">
      <c r="A41" s="8"/>
      <c r="B41" s="8" t="s">
        <v>36</v>
      </c>
      <c r="C41" s="8"/>
      <c r="D41" s="8"/>
      <c r="E41" s="8"/>
      <c r="F41" s="8"/>
      <c r="G41" s="8"/>
      <c r="H41" s="8"/>
      <c r="I41" s="8"/>
      <c r="J41" s="8"/>
      <c r="K41" s="8"/>
      <c r="L41" s="10"/>
      <c r="M41" s="10"/>
      <c r="N41" s="10"/>
      <c r="O41" s="10"/>
      <c r="P41" s="10"/>
    </row>
    <row r="42">
      <c r="A42" s="8"/>
      <c r="B42" s="8"/>
      <c r="C42" s="8"/>
      <c r="D42" s="8" t="s">
        <v>69</v>
      </c>
      <c r="E42" s="8"/>
      <c r="F42" s="8"/>
      <c r="G42" s="8" t="s">
        <v>167</v>
      </c>
      <c r="H42" s="8" t="s">
        <v>168</v>
      </c>
      <c r="I42" s="8"/>
      <c r="J42" s="8"/>
      <c r="K42" s="8"/>
      <c r="L42" s="10"/>
      <c r="M42" s="10"/>
      <c r="N42" s="10"/>
      <c r="O42" s="10"/>
      <c r="P42" s="10"/>
    </row>
    <row r="43">
      <c r="A43" s="8"/>
      <c r="B43" s="8"/>
      <c r="C43" s="8"/>
      <c r="D43" s="8" t="s">
        <v>61</v>
      </c>
      <c r="E43" s="8" t="s">
        <v>139</v>
      </c>
      <c r="F43" s="8" t="s">
        <v>190</v>
      </c>
      <c r="G43" s="8" t="s">
        <v>191</v>
      </c>
      <c r="H43" s="8" t="s">
        <v>192</v>
      </c>
      <c r="I43" s="8"/>
      <c r="J43" s="8"/>
      <c r="K43" s="8"/>
      <c r="L43" s="10"/>
      <c r="M43" s="10"/>
      <c r="N43" s="10"/>
      <c r="O43" s="10"/>
      <c r="P43" s="10"/>
    </row>
    <row r="44">
      <c r="A44" s="8"/>
      <c r="B44" s="8" t="s">
        <v>34</v>
      </c>
      <c r="C44" s="8" t="s">
        <v>193</v>
      </c>
      <c r="D44" s="8"/>
      <c r="E44" s="8"/>
      <c r="F44" s="8"/>
      <c r="G44" s="8"/>
      <c r="H44" s="8"/>
      <c r="I44" s="8"/>
      <c r="J44" s="8"/>
      <c r="K44" s="8"/>
      <c r="L44" s="10"/>
      <c r="M44" s="10"/>
      <c r="N44" s="10"/>
      <c r="O44" s="10"/>
      <c r="P44" s="10"/>
    </row>
    <row r="45">
      <c r="A45" s="8"/>
      <c r="B45" s="8"/>
      <c r="C45" s="8"/>
      <c r="D45" s="8" t="s">
        <v>188</v>
      </c>
      <c r="E45" s="8" t="s">
        <v>174</v>
      </c>
      <c r="F45" s="8" t="s">
        <v>194</v>
      </c>
      <c r="G45" s="8" t="s">
        <v>176</v>
      </c>
      <c r="H45" s="8" t="s">
        <v>177</v>
      </c>
      <c r="I45" s="8"/>
      <c r="J45" s="11" t="s">
        <v>178</v>
      </c>
      <c r="K45" s="8"/>
      <c r="L45" s="10"/>
      <c r="M45" s="10"/>
      <c r="N45" s="10"/>
      <c r="O45" s="10"/>
      <c r="P45" s="10"/>
    </row>
    <row r="46">
      <c r="A46" s="8"/>
      <c r="B46" s="8" t="s">
        <v>51</v>
      </c>
      <c r="C46" s="8"/>
      <c r="D46" s="8"/>
      <c r="E46" s="8"/>
      <c r="F46" s="8"/>
      <c r="G46" s="8"/>
      <c r="H46" s="8"/>
      <c r="I46" s="8"/>
      <c r="J46" s="8"/>
      <c r="K46" s="8"/>
      <c r="L46" s="10"/>
      <c r="M46" s="10"/>
      <c r="N46" s="10"/>
      <c r="O46" s="10"/>
      <c r="P46" s="10"/>
    </row>
    <row r="47">
      <c r="A47" s="8"/>
      <c r="B47" s="8" t="s">
        <v>50</v>
      </c>
      <c r="C47" s="8"/>
      <c r="D47" s="8"/>
      <c r="E47" s="8"/>
      <c r="F47" s="8"/>
      <c r="G47" s="8"/>
      <c r="H47" s="8"/>
      <c r="I47" s="8"/>
      <c r="J47" s="8"/>
      <c r="K47" s="8"/>
      <c r="L47" s="10"/>
      <c r="M47" s="10"/>
      <c r="N47" s="10"/>
      <c r="O47" s="10"/>
      <c r="P47" s="10"/>
    </row>
    <row r="48">
      <c r="A48" s="8"/>
      <c r="B48" s="8" t="s">
        <v>166</v>
      </c>
      <c r="C48" s="8"/>
      <c r="D48" s="8"/>
      <c r="E48" s="8"/>
      <c r="F48" s="8"/>
      <c r="G48" s="8"/>
      <c r="H48" s="8"/>
      <c r="I48" s="8"/>
      <c r="J48" s="8"/>
      <c r="K48" s="8"/>
      <c r="L48" s="10"/>
      <c r="M48" s="10"/>
      <c r="N48" s="10"/>
      <c r="O48" s="10"/>
      <c r="P48" s="10"/>
    </row>
    <row r="49">
      <c r="A49" s="8"/>
      <c r="B49" s="8"/>
      <c r="C49" s="8"/>
      <c r="D49" s="8" t="s">
        <v>69</v>
      </c>
      <c r="E49" s="8"/>
      <c r="F49" s="8"/>
      <c r="G49" s="8" t="s">
        <v>167</v>
      </c>
      <c r="H49" s="8" t="s">
        <v>168</v>
      </c>
      <c r="I49" s="8"/>
      <c r="J49" s="8"/>
      <c r="K49" s="8"/>
      <c r="L49" s="10"/>
      <c r="M49" s="10"/>
      <c r="N49" s="10"/>
      <c r="O49" s="10"/>
      <c r="P49" s="10"/>
    </row>
    <row r="50">
      <c r="A50" s="8"/>
      <c r="B50" s="8"/>
      <c r="C50" s="8"/>
      <c r="D50" s="8" t="s">
        <v>61</v>
      </c>
      <c r="E50" s="8" t="s">
        <v>139</v>
      </c>
      <c r="F50" s="8" t="s">
        <v>195</v>
      </c>
      <c r="G50" s="8" t="s">
        <v>196</v>
      </c>
      <c r="H50" s="8" t="s">
        <v>197</v>
      </c>
      <c r="I50" s="8"/>
      <c r="J50" s="8"/>
      <c r="K50" s="8"/>
      <c r="L50" s="10"/>
      <c r="M50" s="10"/>
      <c r="N50" s="10"/>
      <c r="O50" s="10"/>
      <c r="P50" s="10"/>
    </row>
    <row r="51">
      <c r="A51" s="8"/>
      <c r="B51" s="8" t="s">
        <v>34</v>
      </c>
      <c r="C51" s="8" t="s">
        <v>198</v>
      </c>
      <c r="D51" s="8"/>
      <c r="E51" s="8"/>
      <c r="F51" s="8"/>
      <c r="G51" s="8"/>
      <c r="H51" s="8"/>
      <c r="I51" s="8"/>
      <c r="J51" s="8"/>
      <c r="K51" s="8"/>
      <c r="L51" s="10"/>
      <c r="M51" s="10"/>
      <c r="N51" s="10"/>
      <c r="O51" s="10"/>
      <c r="P51" s="10"/>
    </row>
    <row r="52">
      <c r="A52" s="8"/>
      <c r="B52" s="8"/>
      <c r="C52" s="8"/>
      <c r="D52" s="8" t="s">
        <v>188</v>
      </c>
      <c r="E52" s="8" t="s">
        <v>174</v>
      </c>
      <c r="F52" s="8" t="s">
        <v>199</v>
      </c>
      <c r="G52" s="8" t="s">
        <v>176</v>
      </c>
      <c r="H52" s="8" t="s">
        <v>177</v>
      </c>
      <c r="I52" s="8"/>
      <c r="J52" s="11" t="s">
        <v>178</v>
      </c>
      <c r="K52" s="8"/>
      <c r="L52" s="10"/>
      <c r="M52" s="10"/>
      <c r="N52" s="10"/>
      <c r="O52" s="10"/>
      <c r="P52" s="10"/>
    </row>
    <row r="53">
      <c r="A53" s="8"/>
      <c r="B53" s="8" t="s">
        <v>51</v>
      </c>
      <c r="C53" s="8"/>
      <c r="D53" s="8"/>
      <c r="E53" s="8"/>
      <c r="F53" s="8"/>
      <c r="G53" s="8"/>
      <c r="H53" s="8"/>
      <c r="I53" s="8"/>
      <c r="J53" s="8"/>
      <c r="K53" s="8"/>
      <c r="L53" s="10"/>
      <c r="M53" s="10"/>
      <c r="N53" s="10"/>
      <c r="O53" s="10"/>
      <c r="P53" s="10"/>
    </row>
    <row r="54">
      <c r="A54" s="8"/>
      <c r="B54" s="8" t="s">
        <v>50</v>
      </c>
      <c r="C54" s="8"/>
      <c r="D54" s="8"/>
      <c r="E54" s="8"/>
      <c r="F54" s="8"/>
      <c r="G54" s="8"/>
      <c r="H54" s="8"/>
      <c r="I54" s="8"/>
      <c r="J54" s="8"/>
      <c r="K54" s="8"/>
      <c r="L54" s="10"/>
      <c r="M54" s="10"/>
      <c r="N54" s="10"/>
      <c r="O54" s="10"/>
      <c r="P54" s="10"/>
    </row>
    <row r="55">
      <c r="A55" s="8"/>
      <c r="B55" s="8" t="s">
        <v>36</v>
      </c>
      <c r="C55" s="8"/>
      <c r="D55" s="8"/>
      <c r="E55" s="8"/>
      <c r="F55" s="8"/>
      <c r="G55" s="8"/>
      <c r="H55" s="8"/>
      <c r="I55" s="8"/>
      <c r="J55" s="8"/>
      <c r="K55" s="8"/>
      <c r="L55" s="10"/>
      <c r="M55" s="10"/>
      <c r="N55" s="10"/>
      <c r="O55" s="10"/>
      <c r="P55" s="10"/>
    </row>
    <row r="56">
      <c r="A56" s="8"/>
      <c r="B56" s="8"/>
      <c r="C56" s="8"/>
      <c r="D56" s="8" t="s">
        <v>69</v>
      </c>
      <c r="E56" s="8"/>
      <c r="F56" s="8"/>
      <c r="G56" s="8" t="s">
        <v>167</v>
      </c>
      <c r="H56" s="8" t="s">
        <v>168</v>
      </c>
      <c r="I56" s="8"/>
      <c r="J56" s="8"/>
      <c r="K56" s="8"/>
      <c r="L56" s="10"/>
      <c r="M56" s="10"/>
      <c r="N56" s="10"/>
      <c r="O56" s="10"/>
      <c r="P56" s="10"/>
    </row>
    <row r="57">
      <c r="A57" s="8"/>
      <c r="B57" s="8"/>
      <c r="C57" s="8"/>
      <c r="D57" s="8" t="s">
        <v>61</v>
      </c>
      <c r="E57" s="8" t="s">
        <v>139</v>
      </c>
      <c r="F57" s="8" t="s">
        <v>200</v>
      </c>
      <c r="G57" s="8" t="s">
        <v>201</v>
      </c>
      <c r="H57" s="8" t="s">
        <v>202</v>
      </c>
      <c r="I57" s="8"/>
      <c r="J57" s="8"/>
      <c r="K57" s="8"/>
      <c r="L57" s="10"/>
      <c r="M57" s="10"/>
      <c r="N57" s="10"/>
      <c r="O57" s="10"/>
      <c r="P57" s="10"/>
    </row>
    <row r="58">
      <c r="A58" s="8"/>
      <c r="B58" s="8" t="s">
        <v>34</v>
      </c>
      <c r="C58" s="8" t="s">
        <v>203</v>
      </c>
      <c r="D58" s="8"/>
      <c r="E58" s="8"/>
      <c r="F58" s="8"/>
      <c r="G58" s="8"/>
      <c r="H58" s="8"/>
      <c r="I58" s="8"/>
      <c r="J58" s="8"/>
      <c r="K58" s="8"/>
      <c r="L58" s="10"/>
      <c r="M58" s="10"/>
      <c r="N58" s="10"/>
      <c r="O58" s="10"/>
      <c r="P58" s="10"/>
    </row>
    <row r="59">
      <c r="A59" s="8"/>
      <c r="B59" s="8"/>
      <c r="C59" s="8"/>
      <c r="D59" s="8" t="s">
        <v>150</v>
      </c>
      <c r="E59" s="8" t="s">
        <v>174</v>
      </c>
      <c r="F59" s="8" t="s">
        <v>204</v>
      </c>
      <c r="G59" s="8" t="s">
        <v>176</v>
      </c>
      <c r="H59" s="8" t="s">
        <v>177</v>
      </c>
      <c r="I59" s="8"/>
      <c r="J59" s="11" t="s">
        <v>178</v>
      </c>
      <c r="K59" s="8"/>
      <c r="L59" s="10"/>
      <c r="M59" s="10"/>
      <c r="N59" s="10"/>
      <c r="O59" s="10"/>
      <c r="P59" s="10"/>
    </row>
    <row r="60">
      <c r="A60" s="8"/>
      <c r="B60" s="8" t="s">
        <v>51</v>
      </c>
      <c r="C60" s="8"/>
      <c r="D60" s="8"/>
      <c r="E60" s="8"/>
      <c r="F60" s="8"/>
      <c r="G60" s="10"/>
      <c r="H60" s="10"/>
      <c r="I60" s="10"/>
      <c r="J60" s="10"/>
      <c r="K60" s="10"/>
      <c r="L60" s="10"/>
      <c r="M60" s="10"/>
      <c r="N60" s="10"/>
      <c r="O60" s="10"/>
      <c r="P60" s="10"/>
    </row>
    <row r="61">
      <c r="A61" s="8"/>
      <c r="B61" s="10" t="s">
        <v>50</v>
      </c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</row>
    <row r="62">
      <c r="A62" s="8"/>
      <c r="B62" s="8" t="s">
        <v>36</v>
      </c>
      <c r="C62" s="8"/>
      <c r="D62" s="8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</row>
    <row r="63">
      <c r="A63" s="8"/>
      <c r="B63" s="8"/>
      <c r="C63" s="8"/>
      <c r="D63" s="8" t="s">
        <v>69</v>
      </c>
      <c r="E63" s="8"/>
      <c r="F63" s="8"/>
      <c r="G63" s="8" t="s">
        <v>167</v>
      </c>
      <c r="H63" s="8" t="s">
        <v>168</v>
      </c>
      <c r="I63" s="8"/>
      <c r="J63" s="8"/>
      <c r="K63" s="8"/>
      <c r="L63" s="10"/>
      <c r="M63" s="10"/>
      <c r="N63" s="10"/>
      <c r="O63" s="10"/>
      <c r="P63" s="10"/>
    </row>
    <row r="64">
      <c r="A64" s="8"/>
      <c r="B64" s="8"/>
      <c r="C64" s="8"/>
      <c r="D64" s="8" t="s">
        <v>61</v>
      </c>
      <c r="E64" s="8" t="s">
        <v>139</v>
      </c>
      <c r="F64" s="8" t="s">
        <v>205</v>
      </c>
      <c r="G64" s="8" t="s">
        <v>206</v>
      </c>
      <c r="H64" s="8" t="s">
        <v>207</v>
      </c>
      <c r="I64" s="8"/>
      <c r="J64" s="8"/>
      <c r="K64" s="8"/>
      <c r="L64" s="10"/>
      <c r="M64" s="10"/>
      <c r="N64" s="10"/>
      <c r="O64" s="10"/>
      <c r="P64" s="10"/>
    </row>
    <row r="65">
      <c r="A65" s="8"/>
      <c r="B65" s="8" t="s">
        <v>34</v>
      </c>
      <c r="C65" s="8" t="s">
        <v>208</v>
      </c>
      <c r="D65" s="8"/>
      <c r="E65" s="8"/>
      <c r="F65" s="8"/>
      <c r="G65" s="8"/>
      <c r="H65" s="8"/>
      <c r="I65" s="8"/>
      <c r="J65" s="8"/>
      <c r="K65" s="8"/>
      <c r="L65" s="10"/>
      <c r="M65" s="10"/>
      <c r="N65" s="10"/>
      <c r="O65" s="10"/>
      <c r="P65" s="10"/>
    </row>
    <row r="66">
      <c r="A66" s="8"/>
      <c r="B66" s="8"/>
      <c r="C66" s="8"/>
      <c r="D66" s="8" t="s">
        <v>150</v>
      </c>
      <c r="E66" s="8" t="s">
        <v>174</v>
      </c>
      <c r="F66" s="8" t="s">
        <v>209</v>
      </c>
      <c r="G66" s="8" t="s">
        <v>176</v>
      </c>
      <c r="H66" s="8" t="s">
        <v>177</v>
      </c>
      <c r="I66" s="8"/>
      <c r="J66" s="11" t="s">
        <v>178</v>
      </c>
      <c r="K66" s="8"/>
      <c r="L66" s="10"/>
      <c r="M66" s="10"/>
      <c r="N66" s="10"/>
      <c r="O66" s="10"/>
      <c r="P66" s="10"/>
    </row>
    <row r="67">
      <c r="A67" s="8"/>
      <c r="B67" s="8" t="s">
        <v>51</v>
      </c>
      <c r="C67" s="8"/>
      <c r="D67" s="8"/>
      <c r="E67" s="8"/>
      <c r="F67" s="8"/>
      <c r="G67" s="8"/>
      <c r="H67" s="8"/>
      <c r="I67" s="8"/>
      <c r="J67" s="8"/>
      <c r="K67" s="8"/>
      <c r="L67" s="10"/>
      <c r="M67" s="10"/>
      <c r="N67" s="10"/>
      <c r="O67" s="10"/>
      <c r="P67" s="10"/>
    </row>
    <row r="68">
      <c r="A68" s="8"/>
      <c r="B68" s="8" t="s">
        <v>50</v>
      </c>
      <c r="C68" s="8"/>
      <c r="D68" s="8"/>
      <c r="E68" s="8"/>
      <c r="F68" s="8"/>
      <c r="G68" s="8"/>
      <c r="H68" s="8"/>
      <c r="I68" s="8"/>
      <c r="J68" s="8"/>
      <c r="K68" s="8"/>
      <c r="L68" s="10"/>
      <c r="M68" s="10"/>
      <c r="N68" s="10"/>
      <c r="O68" s="10"/>
      <c r="P68" s="10"/>
    </row>
    <row r="69">
      <c r="A69" s="8"/>
      <c r="B69" s="8" t="s">
        <v>36</v>
      </c>
      <c r="C69" s="8"/>
      <c r="D69" s="8"/>
      <c r="E69" s="8"/>
      <c r="F69" s="8"/>
      <c r="G69" s="8"/>
      <c r="H69" s="8"/>
      <c r="I69" s="8"/>
      <c r="J69" s="8"/>
      <c r="K69" s="8"/>
      <c r="L69" s="10"/>
      <c r="M69" s="10"/>
      <c r="N69" s="10"/>
      <c r="O69" s="10"/>
      <c r="P69" s="10"/>
    </row>
    <row r="70">
      <c r="A70" s="8"/>
      <c r="B70" s="8"/>
      <c r="C70" s="8"/>
      <c r="D70" s="8" t="s">
        <v>69</v>
      </c>
      <c r="E70" s="8"/>
      <c r="F70" s="8"/>
      <c r="G70" s="8" t="s">
        <v>167</v>
      </c>
      <c r="H70" s="8" t="s">
        <v>168</v>
      </c>
      <c r="I70" s="8"/>
      <c r="J70" s="8"/>
      <c r="K70" s="8"/>
      <c r="L70" s="10"/>
      <c r="M70" s="10"/>
      <c r="N70" s="10"/>
      <c r="O70" s="10"/>
      <c r="P70" s="10"/>
    </row>
    <row r="71">
      <c r="A71" s="8"/>
      <c r="B71" s="8"/>
      <c r="C71" s="8"/>
      <c r="D71" s="8" t="s">
        <v>61</v>
      </c>
      <c r="E71" s="8" t="s">
        <v>139</v>
      </c>
      <c r="F71" s="8" t="s">
        <v>210</v>
      </c>
      <c r="G71" s="8" t="s">
        <v>211</v>
      </c>
      <c r="H71" s="8" t="s">
        <v>212</v>
      </c>
      <c r="I71" s="8"/>
      <c r="J71" s="8"/>
      <c r="K71" s="8"/>
      <c r="L71" s="10"/>
      <c r="M71" s="10"/>
      <c r="N71" s="10"/>
      <c r="O71" s="10"/>
      <c r="P71" s="10"/>
    </row>
    <row r="72">
      <c r="A72" s="8"/>
      <c r="B72" s="8" t="s">
        <v>34</v>
      </c>
      <c r="C72" s="8" t="s">
        <v>213</v>
      </c>
      <c r="D72" s="8"/>
      <c r="E72" s="8"/>
      <c r="F72" s="8"/>
      <c r="G72" s="8"/>
      <c r="H72" s="8"/>
      <c r="I72" s="8"/>
      <c r="J72" s="8"/>
      <c r="K72" s="8"/>
      <c r="L72" s="10"/>
      <c r="M72" s="10"/>
      <c r="N72" s="10"/>
      <c r="O72" s="10"/>
      <c r="P72" s="10"/>
    </row>
    <row r="73">
      <c r="A73" s="8"/>
      <c r="B73" s="8"/>
      <c r="C73" s="8"/>
      <c r="D73" s="8" t="s">
        <v>150</v>
      </c>
      <c r="E73" s="8" t="s">
        <v>174</v>
      </c>
      <c r="F73" s="8" t="s">
        <v>214</v>
      </c>
      <c r="G73" s="8" t="s">
        <v>176</v>
      </c>
      <c r="H73" s="8" t="s">
        <v>177</v>
      </c>
      <c r="I73" s="8"/>
      <c r="J73" s="11" t="s">
        <v>178</v>
      </c>
      <c r="K73" s="8"/>
      <c r="L73" s="10"/>
      <c r="M73" s="10"/>
      <c r="N73" s="10"/>
      <c r="O73" s="10"/>
      <c r="P73" s="10"/>
    </row>
    <row r="74">
      <c r="A74" s="8"/>
      <c r="B74" s="8" t="s">
        <v>51</v>
      </c>
      <c r="C74" s="8"/>
      <c r="D74" s="8"/>
      <c r="E74" s="8"/>
      <c r="F74" s="8"/>
      <c r="G74" s="8"/>
      <c r="H74" s="8"/>
      <c r="I74" s="8"/>
      <c r="J74" s="8"/>
      <c r="K74" s="8"/>
      <c r="L74" s="10"/>
      <c r="M74" s="10"/>
      <c r="N74" s="10"/>
      <c r="O74" s="10"/>
      <c r="P74" s="10"/>
    </row>
    <row r="75">
      <c r="A75" s="8"/>
      <c r="B75" s="8" t="s">
        <v>50</v>
      </c>
      <c r="C75" s="8"/>
      <c r="D75" s="8"/>
      <c r="E75" s="8"/>
      <c r="F75" s="8"/>
      <c r="G75" s="8"/>
      <c r="H75" s="8"/>
      <c r="I75" s="8"/>
      <c r="J75" s="8"/>
      <c r="K75" s="8"/>
      <c r="L75" s="10"/>
      <c r="M75" s="10"/>
      <c r="N75" s="10"/>
      <c r="O75" s="10"/>
      <c r="P75" s="10"/>
    </row>
    <row r="76">
      <c r="A76" s="8"/>
      <c r="B76" s="8" t="s">
        <v>36</v>
      </c>
      <c r="C76" s="8"/>
      <c r="D76" s="8"/>
      <c r="E76" s="8"/>
      <c r="F76" s="8"/>
      <c r="G76" s="8"/>
      <c r="H76" s="8"/>
      <c r="I76" s="8"/>
      <c r="J76" s="8"/>
      <c r="K76" s="8"/>
      <c r="L76" s="10"/>
      <c r="M76" s="10"/>
      <c r="N76" s="10"/>
      <c r="O76" s="10"/>
      <c r="P76" s="10"/>
    </row>
    <row r="77">
      <c r="A77" s="8"/>
      <c r="B77" s="8"/>
      <c r="C77" s="8"/>
      <c r="D77" s="8" t="s">
        <v>69</v>
      </c>
      <c r="E77" s="8"/>
      <c r="F77" s="8"/>
      <c r="G77" s="8" t="s">
        <v>167</v>
      </c>
      <c r="H77" s="8" t="s">
        <v>168</v>
      </c>
      <c r="I77" s="8"/>
      <c r="J77" s="8"/>
      <c r="K77" s="8"/>
      <c r="L77" s="10"/>
      <c r="M77" s="10"/>
      <c r="N77" s="10"/>
      <c r="O77" s="10"/>
      <c r="P77" s="10"/>
    </row>
    <row r="78">
      <c r="A78" s="8"/>
      <c r="B78" s="8"/>
      <c r="C78" s="8"/>
      <c r="D78" s="8" t="s">
        <v>61</v>
      </c>
      <c r="E78" s="8" t="s">
        <v>139</v>
      </c>
      <c r="F78" s="8" t="s">
        <v>215</v>
      </c>
      <c r="G78" s="8" t="s">
        <v>216</v>
      </c>
      <c r="H78" s="8" t="s">
        <v>217</v>
      </c>
      <c r="I78" s="8"/>
      <c r="J78" s="8"/>
      <c r="K78" s="8"/>
      <c r="L78" s="10"/>
      <c r="M78" s="10"/>
      <c r="N78" s="10"/>
      <c r="O78" s="10"/>
      <c r="P78" s="10"/>
    </row>
    <row r="79">
      <c r="A79" s="8"/>
      <c r="B79" s="8" t="s">
        <v>34</v>
      </c>
      <c r="C79" s="8" t="s">
        <v>218</v>
      </c>
      <c r="D79" s="8"/>
      <c r="E79" s="8"/>
      <c r="F79" s="8"/>
      <c r="G79" s="8"/>
      <c r="H79" s="8"/>
      <c r="I79" s="8"/>
      <c r="J79" s="8"/>
      <c r="K79" s="8"/>
      <c r="L79" s="10"/>
      <c r="M79" s="10"/>
      <c r="N79" s="10"/>
      <c r="O79" s="10"/>
      <c r="P79" s="10"/>
    </row>
    <row r="80">
      <c r="A80" s="8"/>
      <c r="B80" s="8"/>
      <c r="C80" s="8"/>
      <c r="D80" s="8" t="s">
        <v>219</v>
      </c>
      <c r="E80" s="8"/>
      <c r="F80" s="8" t="s">
        <v>220</v>
      </c>
      <c r="G80" s="8" t="s">
        <v>221</v>
      </c>
      <c r="H80" s="8" t="s">
        <v>222</v>
      </c>
      <c r="I80" s="8"/>
      <c r="J80" s="8"/>
      <c r="K80" s="8"/>
      <c r="L80" s="10"/>
      <c r="M80" s="10"/>
      <c r="N80" s="10"/>
      <c r="O80" s="10"/>
      <c r="P80" s="10"/>
    </row>
    <row r="81">
      <c r="A81" s="8"/>
      <c r="B81" s="8"/>
      <c r="C81" s="8"/>
      <c r="D81" s="8" t="s">
        <v>150</v>
      </c>
      <c r="E81" s="8" t="s">
        <v>174</v>
      </c>
      <c r="F81" s="8" t="s">
        <v>223</v>
      </c>
      <c r="G81" s="8" t="s">
        <v>176</v>
      </c>
      <c r="H81" s="8" t="s">
        <v>177</v>
      </c>
      <c r="I81" s="8"/>
      <c r="J81" s="11" t="s">
        <v>178</v>
      </c>
      <c r="K81" s="8"/>
      <c r="L81" s="10"/>
      <c r="M81" s="10"/>
      <c r="N81" s="10"/>
      <c r="O81" s="10"/>
      <c r="P81" s="10"/>
    </row>
    <row r="82">
      <c r="A82" s="8"/>
      <c r="B82" s="8" t="s">
        <v>51</v>
      </c>
      <c r="C82" s="8"/>
      <c r="D82" s="8"/>
      <c r="E82" s="8"/>
      <c r="F82" s="8"/>
      <c r="G82" s="8"/>
      <c r="H82" s="8"/>
      <c r="I82" s="8"/>
      <c r="J82" s="8"/>
      <c r="K82" s="8"/>
      <c r="L82" s="10"/>
      <c r="M82" s="10"/>
      <c r="N82" s="10"/>
      <c r="O82" s="10"/>
      <c r="P82" s="10"/>
    </row>
    <row r="83">
      <c r="A83" s="8"/>
      <c r="B83" s="8" t="s">
        <v>50</v>
      </c>
      <c r="C83" s="8"/>
      <c r="D83" s="8"/>
      <c r="E83" s="8"/>
      <c r="F83" s="8"/>
      <c r="G83" s="8"/>
      <c r="H83" s="8"/>
      <c r="I83" s="8"/>
      <c r="J83" s="8"/>
      <c r="K83" s="8"/>
      <c r="L83" s="10"/>
      <c r="M83" s="10"/>
      <c r="N83" s="10"/>
      <c r="O83" s="10"/>
      <c r="P83" s="10"/>
    </row>
    <row r="84">
      <c r="A84" s="8"/>
      <c r="B84" s="8" t="s">
        <v>36</v>
      </c>
      <c r="C84" s="8"/>
      <c r="D84" s="8"/>
      <c r="E84" s="8"/>
      <c r="F84" s="8"/>
      <c r="G84" s="8"/>
      <c r="H84" s="8"/>
      <c r="I84" s="8"/>
      <c r="J84" s="8"/>
      <c r="K84" s="8"/>
      <c r="L84" s="10"/>
      <c r="M84" s="10"/>
      <c r="N84" s="10"/>
      <c r="O84" s="10"/>
      <c r="P84" s="10"/>
    </row>
    <row r="85">
      <c r="A85" s="8"/>
      <c r="B85" s="8"/>
      <c r="C85" s="8"/>
      <c r="D85" s="8" t="s">
        <v>69</v>
      </c>
      <c r="E85" s="8"/>
      <c r="F85" s="8"/>
      <c r="G85" s="8" t="s">
        <v>167</v>
      </c>
      <c r="H85" s="8" t="s">
        <v>168</v>
      </c>
      <c r="I85" s="8"/>
      <c r="J85" s="8"/>
      <c r="K85" s="8"/>
      <c r="L85" s="10"/>
      <c r="M85" s="10"/>
      <c r="N85" s="10"/>
      <c r="O85" s="10"/>
      <c r="P85" s="10"/>
    </row>
    <row r="86">
      <c r="A86" s="8"/>
      <c r="B86" s="8"/>
      <c r="C86" s="8"/>
      <c r="D86" s="8" t="s">
        <v>61</v>
      </c>
      <c r="E86" s="8" t="s">
        <v>139</v>
      </c>
      <c r="F86" s="8" t="s">
        <v>224</v>
      </c>
      <c r="G86" s="8" t="s">
        <v>225</v>
      </c>
      <c r="H86" s="8" t="s">
        <v>226</v>
      </c>
      <c r="I86" s="8"/>
      <c r="J86" s="8"/>
      <c r="K86" s="8"/>
      <c r="L86" s="10"/>
      <c r="M86" s="10"/>
      <c r="N86" s="10"/>
      <c r="O86" s="10"/>
      <c r="P86" s="10"/>
    </row>
    <row r="87">
      <c r="A87" s="8"/>
      <c r="B87" s="8" t="s">
        <v>34</v>
      </c>
      <c r="C87" s="8" t="s">
        <v>227</v>
      </c>
      <c r="D87" s="8"/>
      <c r="E87" s="8"/>
      <c r="F87" s="8"/>
      <c r="G87" s="8"/>
      <c r="H87" s="8"/>
      <c r="I87" s="8"/>
      <c r="J87" s="8"/>
      <c r="K87" s="8"/>
      <c r="L87" s="10"/>
      <c r="M87" s="10"/>
      <c r="N87" s="10"/>
      <c r="O87" s="10"/>
      <c r="P87" s="10"/>
    </row>
    <row r="88">
      <c r="A88" s="8"/>
      <c r="B88" s="8"/>
      <c r="C88" s="8"/>
      <c r="D88" s="8" t="s">
        <v>150</v>
      </c>
      <c r="E88" s="8" t="s">
        <v>174</v>
      </c>
      <c r="F88" s="8" t="s">
        <v>228</v>
      </c>
      <c r="G88" s="8" t="s">
        <v>176</v>
      </c>
      <c r="H88" s="8" t="s">
        <v>177</v>
      </c>
      <c r="I88" s="8"/>
      <c r="J88" s="11" t="s">
        <v>178</v>
      </c>
      <c r="K88" s="8"/>
      <c r="L88" s="10"/>
      <c r="M88" s="10"/>
      <c r="N88" s="10"/>
      <c r="O88" s="10"/>
      <c r="P88" s="10"/>
    </row>
    <row r="89">
      <c r="A89" s="8"/>
      <c r="B89" s="8"/>
      <c r="C89" s="8"/>
      <c r="D89" s="8" t="s">
        <v>219</v>
      </c>
      <c r="E89" s="8"/>
      <c r="F89" s="8" t="s">
        <v>229</v>
      </c>
      <c r="G89" s="10" t="s">
        <v>230</v>
      </c>
      <c r="H89" s="10" t="s">
        <v>231</v>
      </c>
      <c r="I89" s="10"/>
      <c r="J89" s="10"/>
      <c r="K89" s="10"/>
      <c r="L89" s="10"/>
      <c r="M89" s="10"/>
      <c r="N89" s="10"/>
      <c r="O89" s="10"/>
      <c r="P89" s="10"/>
    </row>
    <row r="90">
      <c r="A90" s="8"/>
      <c r="B90" s="10"/>
      <c r="C90" s="10"/>
      <c r="D90" s="10" t="s">
        <v>61</v>
      </c>
      <c r="E90" s="10" t="s">
        <v>232</v>
      </c>
      <c r="F90" s="10" t="s">
        <v>233</v>
      </c>
      <c r="G90" s="10" t="s">
        <v>234</v>
      </c>
      <c r="H90" s="10" t="s">
        <v>235</v>
      </c>
      <c r="I90" s="10"/>
      <c r="J90" s="10"/>
      <c r="K90" s="10"/>
      <c r="L90" s="10"/>
      <c r="M90" s="10"/>
      <c r="N90" s="10"/>
      <c r="O90" s="10"/>
      <c r="P90" s="10"/>
    </row>
    <row r="91">
      <c r="A91" s="8"/>
      <c r="B91" s="8" t="s">
        <v>51</v>
      </c>
      <c r="C91" s="8"/>
      <c r="D91" s="8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</row>
    <row r="92">
      <c r="A92" s="8"/>
      <c r="B92" s="8" t="s">
        <v>50</v>
      </c>
      <c r="C92" s="8"/>
      <c r="D92" s="8"/>
      <c r="E92" s="8"/>
      <c r="F92" s="8"/>
      <c r="G92" s="8"/>
      <c r="H92" s="8"/>
      <c r="I92" s="8"/>
      <c r="J92" s="8"/>
      <c r="K92" s="8"/>
      <c r="L92" s="10"/>
      <c r="M92" s="10"/>
      <c r="N92" s="10"/>
      <c r="O92" s="10"/>
      <c r="P92" s="10"/>
    </row>
    <row r="93">
      <c r="A93" s="8"/>
      <c r="B93" s="8" t="s">
        <v>36</v>
      </c>
      <c r="C93" s="8"/>
      <c r="D93" s="8"/>
      <c r="E93" s="8"/>
      <c r="F93" s="8"/>
      <c r="G93" s="8"/>
      <c r="H93" s="8"/>
      <c r="I93" s="8"/>
      <c r="J93" s="8"/>
      <c r="K93" s="8"/>
      <c r="L93" s="10"/>
      <c r="M93" s="10"/>
      <c r="N93" s="10"/>
      <c r="O93" s="10"/>
      <c r="P93" s="10"/>
    </row>
    <row r="94">
      <c r="A94" s="8"/>
      <c r="B94" s="8"/>
      <c r="C94" s="8"/>
      <c r="D94" s="8" t="s">
        <v>69</v>
      </c>
      <c r="E94" s="8"/>
      <c r="F94" s="8"/>
      <c r="G94" s="8" t="s">
        <v>167</v>
      </c>
      <c r="H94" s="8" t="s">
        <v>168</v>
      </c>
      <c r="I94" s="8"/>
      <c r="J94" s="8"/>
      <c r="K94" s="8"/>
      <c r="L94" s="10"/>
      <c r="M94" s="10"/>
      <c r="N94" s="10"/>
      <c r="O94" s="10"/>
      <c r="P94" s="10"/>
    </row>
    <row r="95">
      <c r="A95" s="8"/>
      <c r="B95" s="8"/>
      <c r="C95" s="8"/>
      <c r="D95" s="8" t="s">
        <v>61</v>
      </c>
      <c r="E95" s="8" t="s">
        <v>139</v>
      </c>
      <c r="F95" s="8" t="s">
        <v>236</v>
      </c>
      <c r="G95" s="8" t="s">
        <v>237</v>
      </c>
      <c r="H95" s="8" t="s">
        <v>238</v>
      </c>
      <c r="I95" s="8"/>
      <c r="J95" s="8"/>
      <c r="K95" s="8"/>
      <c r="L95" s="10"/>
      <c r="M95" s="10"/>
      <c r="N95" s="10"/>
      <c r="O95" s="10"/>
      <c r="P95" s="10"/>
    </row>
    <row r="96">
      <c r="A96" s="8"/>
      <c r="B96" s="8" t="s">
        <v>34</v>
      </c>
      <c r="C96" s="8" t="s">
        <v>239</v>
      </c>
      <c r="D96" s="8"/>
      <c r="E96" s="8"/>
      <c r="F96" s="8"/>
      <c r="G96" s="8"/>
      <c r="H96" s="8"/>
      <c r="I96" s="8"/>
      <c r="J96" s="8"/>
      <c r="K96" s="8"/>
      <c r="L96" s="10"/>
      <c r="M96" s="10"/>
      <c r="N96" s="10"/>
      <c r="O96" s="10"/>
      <c r="P96" s="10"/>
    </row>
    <row r="97">
      <c r="A97" s="8"/>
      <c r="B97" s="8"/>
      <c r="C97" s="8"/>
      <c r="D97" s="8" t="s">
        <v>150</v>
      </c>
      <c r="E97" s="8" t="s">
        <v>174</v>
      </c>
      <c r="F97" s="8" t="s">
        <v>240</v>
      </c>
      <c r="G97" s="8" t="s">
        <v>176</v>
      </c>
      <c r="H97" s="8" t="s">
        <v>177</v>
      </c>
      <c r="I97" s="8"/>
      <c r="J97" s="11" t="s">
        <v>178</v>
      </c>
      <c r="K97" s="8"/>
      <c r="L97" s="10"/>
      <c r="M97" s="10"/>
      <c r="N97" s="10"/>
      <c r="O97" s="10"/>
      <c r="P97" s="10"/>
    </row>
    <row r="98">
      <c r="A98" s="8"/>
      <c r="B98" s="12"/>
      <c r="C98" s="12"/>
      <c r="D98" s="12"/>
      <c r="E98" s="12"/>
      <c r="F98" s="12"/>
      <c r="G98" s="12"/>
      <c r="H98" s="12"/>
      <c r="I98" s="12"/>
      <c r="J98" s="12"/>
      <c r="K98" s="8"/>
      <c r="L98" s="10"/>
      <c r="M98" s="10"/>
      <c r="N98" s="10"/>
      <c r="O98" s="10"/>
      <c r="P98" s="10"/>
    </row>
    <row r="99">
      <c r="A99" s="8"/>
      <c r="B99" s="12"/>
      <c r="C99" s="12"/>
      <c r="D99" s="12" t="s">
        <v>150</v>
      </c>
      <c r="E99" s="12" t="s">
        <v>241</v>
      </c>
      <c r="F99" s="12" t="s">
        <v>242</v>
      </c>
      <c r="G99" s="12" t="s">
        <v>243</v>
      </c>
      <c r="H99" s="12" t="s">
        <v>244</v>
      </c>
      <c r="I99" s="12"/>
      <c r="J99" s="12"/>
      <c r="K99" s="8"/>
      <c r="L99" s="10"/>
      <c r="M99" s="10"/>
      <c r="N99" s="10"/>
      <c r="O99" s="10"/>
      <c r="P99" s="10"/>
    </row>
    <row r="100">
      <c r="A100" s="8"/>
      <c r="B100" s="12" t="s">
        <v>34</v>
      </c>
      <c r="C100" s="12" t="s">
        <v>245</v>
      </c>
      <c r="D100" s="12"/>
      <c r="E100" s="12"/>
      <c r="F100" s="12"/>
      <c r="G100" s="12"/>
      <c r="H100" s="12"/>
      <c r="I100" s="12"/>
      <c r="J100" s="12"/>
      <c r="K100" s="8"/>
      <c r="L100" s="10"/>
      <c r="M100" s="10"/>
      <c r="N100" s="10"/>
      <c r="O100" s="10"/>
      <c r="P100" s="10"/>
    </row>
    <row r="101">
      <c r="A101" s="8"/>
      <c r="B101" s="12"/>
      <c r="C101" s="12"/>
      <c r="D101" s="12" t="s">
        <v>219</v>
      </c>
      <c r="E101" s="12"/>
      <c r="F101" s="12" t="s">
        <v>246</v>
      </c>
      <c r="G101" s="12" t="s">
        <v>247</v>
      </c>
      <c r="H101" s="12" t="s">
        <v>248</v>
      </c>
      <c r="I101" s="12"/>
      <c r="J101" s="12"/>
      <c r="K101" s="8"/>
      <c r="L101" s="10"/>
      <c r="M101" s="10"/>
      <c r="N101" s="10"/>
      <c r="O101" s="10"/>
      <c r="P101" s="10"/>
    </row>
    <row r="102">
      <c r="A102" s="8"/>
      <c r="B102" s="12" t="s">
        <v>51</v>
      </c>
      <c r="C102" s="12"/>
      <c r="D102" s="12"/>
      <c r="E102" s="12"/>
      <c r="F102" s="12"/>
      <c r="G102" s="12"/>
      <c r="H102" s="12"/>
      <c r="I102" s="12"/>
      <c r="J102" s="12"/>
      <c r="K102" s="8"/>
      <c r="L102" s="10"/>
      <c r="M102" s="10"/>
      <c r="N102" s="10"/>
      <c r="O102" s="10"/>
      <c r="P102" s="10"/>
    </row>
    <row r="103">
      <c r="A103" s="8"/>
      <c r="B103" s="12"/>
      <c r="C103" s="12"/>
      <c r="D103" s="12"/>
      <c r="E103" s="12"/>
      <c r="F103" s="12"/>
      <c r="G103" s="12"/>
      <c r="H103" s="12"/>
      <c r="I103" s="12"/>
      <c r="J103" s="12"/>
      <c r="K103" s="8"/>
      <c r="L103" s="10"/>
      <c r="M103" s="10"/>
      <c r="N103" s="10"/>
      <c r="O103" s="10"/>
      <c r="P103" s="10"/>
    </row>
    <row r="104">
      <c r="A104" s="8"/>
      <c r="B104" s="8" t="s">
        <v>51</v>
      </c>
      <c r="C104" s="8"/>
      <c r="D104" s="8"/>
      <c r="E104" s="8"/>
      <c r="F104" s="8"/>
      <c r="G104" s="8"/>
      <c r="H104" s="8"/>
      <c r="I104" s="8"/>
      <c r="J104" s="8"/>
      <c r="K104" s="8"/>
      <c r="L104" s="10"/>
      <c r="M104" s="10"/>
      <c r="N104" s="10"/>
      <c r="O104" s="10"/>
      <c r="P104" s="10"/>
    </row>
    <row r="105">
      <c r="A105" s="8"/>
      <c r="B105" s="8" t="s">
        <v>50</v>
      </c>
      <c r="C105" s="8"/>
      <c r="D105" s="8"/>
      <c r="E105" s="8"/>
      <c r="F105" s="8"/>
      <c r="G105" s="8"/>
      <c r="H105" s="8"/>
      <c r="I105" s="8"/>
      <c r="J105" s="8"/>
      <c r="K105" s="8"/>
      <c r="L105" s="10"/>
      <c r="M105" s="10"/>
      <c r="N105" s="10"/>
      <c r="O105" s="10"/>
      <c r="P105" s="10"/>
    </row>
    <row r="106" ht="14.2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10"/>
      <c r="M106" s="10"/>
      <c r="N106" s="10"/>
      <c r="O106" s="10"/>
      <c r="P106" s="10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5" activeCellId="0" sqref="D5"/>
    </sheetView>
  </sheetViews>
  <sheetFormatPr defaultRowHeight="14.25"/>
  <cols>
    <col bestFit="1" customWidth="1" min="1" max="1" width="16.81640625"/>
    <col bestFit="1" customWidth="1" min="2" max="2" width="12.1796875"/>
    <col bestFit="1" customWidth="1" min="3" max="3" width="15.7265625"/>
    <col customWidth="1" min="4" max="4" width="58"/>
  </cols>
  <sheetData>
    <row r="1">
      <c r="A1" s="1" t="s">
        <v>249</v>
      </c>
      <c r="B1" s="1" t="s">
        <v>250</v>
      </c>
      <c r="C1" s="1" t="s">
        <v>251</v>
      </c>
      <c r="D1" s="1" t="s">
        <v>252</v>
      </c>
    </row>
    <row r="2" ht="128.25">
      <c r="A2" t="s">
        <v>253</v>
      </c>
      <c r="B2" t="s">
        <v>254</v>
      </c>
      <c r="C2" t="s">
        <v>255</v>
      </c>
      <c r="D2" s="3" t="s">
        <v>256</v>
      </c>
    </row>
    <row r="3" ht="57">
      <c r="A3" t="s">
        <v>257</v>
      </c>
      <c r="B3" t="s">
        <v>254</v>
      </c>
      <c r="C3" t="s">
        <v>255</v>
      </c>
      <c r="D3" s="3" t="s">
        <v>258</v>
      </c>
    </row>
    <row r="4" ht="128.25">
      <c r="A4" s="10" t="s">
        <v>259</v>
      </c>
      <c r="B4" s="10" t="s">
        <v>254</v>
      </c>
      <c r="C4" s="10" t="s">
        <v>260</v>
      </c>
      <c r="D4" s="3" t="s">
        <v>261</v>
      </c>
    </row>
    <row r="5" ht="71.25">
      <c r="A5" s="10" t="s">
        <v>174</v>
      </c>
      <c r="B5" s="10" t="s">
        <v>254</v>
      </c>
      <c r="C5" s="10" t="s">
        <v>260</v>
      </c>
      <c r="D5" s="3" t="s">
        <v>262</v>
      </c>
    </row>
    <row r="6" ht="128.25">
      <c r="A6" s="10" t="s">
        <v>263</v>
      </c>
      <c r="B6" s="10" t="s">
        <v>254</v>
      </c>
      <c r="C6" s="10" t="s">
        <v>264</v>
      </c>
      <c r="D6" s="3" t="s">
        <v>265</v>
      </c>
    </row>
    <row r="7" ht="57">
      <c r="A7" s="10" t="s">
        <v>266</v>
      </c>
      <c r="B7" s="10" t="s">
        <v>254</v>
      </c>
      <c r="C7" s="10" t="s">
        <v>264</v>
      </c>
      <c r="D7" s="3" t="s">
        <v>267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D32" activeCellId="0" sqref="D32"/>
    </sheetView>
  </sheetViews>
  <sheetFormatPr defaultRowHeight="14.25"/>
  <cols>
    <col bestFit="1" customWidth="1" min="1" max="1" width="16.54296875"/>
    <col bestFit="1" customWidth="1" min="2" max="2" width="13.81640625"/>
    <col bestFit="1" customWidth="1" min="3" max="3" width="31.453125"/>
    <col bestFit="1" customWidth="1" min="4" max="4" width="43"/>
  </cols>
  <sheetData>
    <row r="1" s="13" customFormat="1">
      <c r="A1" s="1" t="s">
        <v>268</v>
      </c>
      <c r="B1" s="1" t="s">
        <v>269</v>
      </c>
      <c r="C1" s="1" t="s">
        <v>2</v>
      </c>
      <c r="D1" s="1" t="s">
        <v>3</v>
      </c>
    </row>
    <row r="2">
      <c r="A2" t="s">
        <v>62</v>
      </c>
      <c r="B2" t="str">
        <f>"1"</f>
        <v>1</v>
      </c>
      <c r="C2" t="s">
        <v>270</v>
      </c>
      <c r="D2" t="s">
        <v>271</v>
      </c>
    </row>
    <row r="3">
      <c r="A3" t="s">
        <v>62</v>
      </c>
      <c r="B3" s="2" t="str">
        <f>"2"</f>
        <v>2</v>
      </c>
      <c r="C3" s="2" t="s">
        <v>272</v>
      </c>
      <c r="D3" s="2" t="s">
        <v>273</v>
      </c>
    </row>
    <row r="4">
      <c r="A4" t="s">
        <v>62</v>
      </c>
      <c r="B4" t="str">
        <f>"3"</f>
        <v>3</v>
      </c>
      <c r="C4" t="s">
        <v>274</v>
      </c>
      <c r="D4" s="2" t="s">
        <v>275</v>
      </c>
    </row>
    <row r="5">
      <c r="A5" t="s">
        <v>62</v>
      </c>
      <c r="B5" t="str">
        <f>"4"</f>
        <v>4</v>
      </c>
      <c r="C5" t="s">
        <v>276</v>
      </c>
      <c r="D5" s="2" t="s">
        <v>277</v>
      </c>
    </row>
    <row r="6">
      <c r="A6" t="s">
        <v>62</v>
      </c>
      <c r="B6" t="str">
        <f>"5"</f>
        <v>5</v>
      </c>
      <c r="C6" t="s">
        <v>278</v>
      </c>
      <c r="D6" s="2" t="s">
        <v>279</v>
      </c>
    </row>
    <row r="7">
      <c r="A7" t="s">
        <v>135</v>
      </c>
      <c r="B7" t="str">
        <f>"1"</f>
        <v>1</v>
      </c>
      <c r="C7" t="s">
        <v>280</v>
      </c>
      <c r="D7" t="s">
        <v>281</v>
      </c>
    </row>
    <row r="8">
      <c r="A8" t="s">
        <v>135</v>
      </c>
      <c r="B8" t="str">
        <f>"2"</f>
        <v>2</v>
      </c>
      <c r="C8" t="s">
        <v>282</v>
      </c>
      <c r="D8" t="s">
        <v>283</v>
      </c>
    </row>
    <row r="9">
      <c r="A9" t="s">
        <v>135</v>
      </c>
      <c r="B9" t="str">
        <f>"3"</f>
        <v>3</v>
      </c>
      <c r="C9" t="s">
        <v>284</v>
      </c>
      <c r="D9" t="s">
        <v>285</v>
      </c>
    </row>
    <row r="10">
      <c r="A10" s="8" t="s">
        <v>139</v>
      </c>
      <c r="B10" t="str">
        <f>"1"</f>
        <v>1</v>
      </c>
      <c r="C10" t="s">
        <v>286</v>
      </c>
      <c r="D10" s="2" t="s">
        <v>287</v>
      </c>
    </row>
    <row r="11">
      <c r="A11" s="8" t="s">
        <v>139</v>
      </c>
      <c r="B11" t="str">
        <f>"2"</f>
        <v>2</v>
      </c>
      <c r="C11" t="s">
        <v>288</v>
      </c>
      <c r="D11" s="2" t="s">
        <v>289</v>
      </c>
    </row>
    <row r="12">
      <c r="A12" s="8" t="s">
        <v>139</v>
      </c>
      <c r="B12" t="str">
        <f>"3"</f>
        <v>3</v>
      </c>
      <c r="C12" t="s">
        <v>290</v>
      </c>
      <c r="D12" s="2" t="s">
        <v>291</v>
      </c>
    </row>
    <row r="13">
      <c r="A13" t="s">
        <v>292</v>
      </c>
      <c r="B13" t="s">
        <v>293</v>
      </c>
      <c r="C13" t="s">
        <v>293</v>
      </c>
      <c r="D13" t="s">
        <v>293</v>
      </c>
    </row>
    <row r="14">
      <c r="A14" t="s">
        <v>292</v>
      </c>
      <c r="B14" t="s">
        <v>294</v>
      </c>
      <c r="C14" t="s">
        <v>294</v>
      </c>
      <c r="D14" t="s">
        <v>294</v>
      </c>
    </row>
    <row r="15">
      <c r="A15" t="s">
        <v>292</v>
      </c>
      <c r="B15" t="s">
        <v>295</v>
      </c>
      <c r="C15" t="s">
        <v>295</v>
      </c>
      <c r="D15" t="s">
        <v>295</v>
      </c>
    </row>
    <row r="16">
      <c r="A16" t="s">
        <v>292</v>
      </c>
      <c r="B16" t="s">
        <v>296</v>
      </c>
      <c r="C16" t="s">
        <v>296</v>
      </c>
      <c r="D16" t="s">
        <v>296</v>
      </c>
    </row>
    <row r="17">
      <c r="A17" t="s">
        <v>292</v>
      </c>
      <c r="B17" t="s">
        <v>297</v>
      </c>
      <c r="C17" t="s">
        <v>297</v>
      </c>
      <c r="D17" t="s">
        <v>297</v>
      </c>
    </row>
    <row r="18">
      <c r="A18" t="s">
        <v>292</v>
      </c>
      <c r="B18" t="s">
        <v>298</v>
      </c>
      <c r="C18" t="s">
        <v>298</v>
      </c>
      <c r="D18" t="s">
        <v>298</v>
      </c>
    </row>
    <row r="19">
      <c r="A19" t="s">
        <v>292</v>
      </c>
      <c r="B19" t="s">
        <v>299</v>
      </c>
      <c r="C19" t="s">
        <v>300</v>
      </c>
      <c r="D19" t="s">
        <v>299</v>
      </c>
    </row>
    <row r="20">
      <c r="A20" t="s">
        <v>292</v>
      </c>
      <c r="B20" t="s">
        <v>301</v>
      </c>
      <c r="C20" t="s">
        <v>302</v>
      </c>
      <c r="D20" s="2" t="s">
        <v>303</v>
      </c>
    </row>
    <row r="21">
      <c r="A21" t="s">
        <v>292</v>
      </c>
      <c r="B21" t="s">
        <v>304</v>
      </c>
      <c r="C21" t="s">
        <v>305</v>
      </c>
      <c r="D21" t="s">
        <v>306</v>
      </c>
    </row>
    <row r="22">
      <c r="A22" t="s">
        <v>232</v>
      </c>
      <c r="B22" t="str">
        <f>"1"</f>
        <v>1</v>
      </c>
      <c r="C22" t="s">
        <v>286</v>
      </c>
      <c r="D22" s="2" t="s">
        <v>287</v>
      </c>
    </row>
    <row r="23">
      <c r="A23" t="s">
        <v>232</v>
      </c>
      <c r="B23" t="str">
        <f>"2"</f>
        <v>2</v>
      </c>
      <c r="C23" t="s">
        <v>288</v>
      </c>
      <c r="D23" s="2" t="s">
        <v>289</v>
      </c>
    </row>
    <row r="24">
      <c r="A24" s="2" t="s">
        <v>41</v>
      </c>
      <c r="B24" t="str">
        <f>"1"</f>
        <v>1</v>
      </c>
      <c r="C24" t="s">
        <v>307</v>
      </c>
      <c r="D24" t="s">
        <v>307</v>
      </c>
    </row>
    <row r="25">
      <c r="A25" s="2" t="s">
        <v>41</v>
      </c>
      <c r="B25" t="str">
        <f>"2"</f>
        <v>2</v>
      </c>
      <c r="C25" t="s">
        <v>308</v>
      </c>
      <c r="D25" t="s">
        <v>308</v>
      </c>
    </row>
    <row r="26">
      <c r="A26" s="2" t="s">
        <v>41</v>
      </c>
      <c r="B26" t="str">
        <f>"3"</f>
        <v>3</v>
      </c>
      <c r="C26" t="s">
        <v>309</v>
      </c>
      <c r="D26" t="s">
        <v>310</v>
      </c>
    </row>
    <row r="27">
      <c r="A27" s="2" t="s">
        <v>41</v>
      </c>
      <c r="B27" t="str">
        <f>"10"</f>
        <v>10</v>
      </c>
      <c r="C27" t="s">
        <v>311</v>
      </c>
      <c r="D27" t="s">
        <v>311</v>
      </c>
    </row>
    <row r="28">
      <c r="A28" s="2" t="s">
        <v>41</v>
      </c>
      <c r="B28" t="str">
        <f>"4"</f>
        <v>4</v>
      </c>
      <c r="C28" t="s">
        <v>312</v>
      </c>
      <c r="D28" t="s">
        <v>312</v>
      </c>
      <c r="E28" t="s">
        <v>313</v>
      </c>
    </row>
    <row r="29">
      <c r="A29" s="2" t="s">
        <v>41</v>
      </c>
      <c r="B29" t="str">
        <f>"5"</f>
        <v>5</v>
      </c>
      <c r="C29" t="s">
        <v>314</v>
      </c>
      <c r="D29" t="s">
        <v>314</v>
      </c>
    </row>
    <row r="30">
      <c r="A30" s="2" t="s">
        <v>41</v>
      </c>
      <c r="B30" t="str">
        <f>"12"</f>
        <v>12</v>
      </c>
      <c r="C30" t="s">
        <v>315</v>
      </c>
      <c r="D30" t="s">
        <v>315</v>
      </c>
    </row>
    <row r="31">
      <c r="A31" t="s">
        <v>151</v>
      </c>
      <c r="B31" t="str">
        <f>"99"</f>
        <v>99</v>
      </c>
      <c r="C31" t="s">
        <v>290</v>
      </c>
      <c r="D31" t="s">
        <v>316</v>
      </c>
    </row>
    <row r="32">
      <c r="A32" t="s">
        <v>317</v>
      </c>
      <c r="B32" t="str">
        <f>"1"</f>
        <v>1</v>
      </c>
      <c r="C32" t="str">
        <f>"1"</f>
        <v>1</v>
      </c>
      <c r="D32" t="str">
        <f>"1"</f>
        <v>1</v>
      </c>
    </row>
    <row r="33">
      <c r="A33" t="s">
        <v>317</v>
      </c>
      <c r="B33" t="str">
        <f>"2"</f>
        <v>2</v>
      </c>
      <c r="C33" t="str">
        <f>"2"</f>
        <v>2</v>
      </c>
      <c r="D33" t="str">
        <f>"2"</f>
        <v>2</v>
      </c>
    </row>
    <row r="34">
      <c r="A34" t="s">
        <v>317</v>
      </c>
      <c r="B34" t="str">
        <f>"3"</f>
        <v>3</v>
      </c>
      <c r="C34" t="str">
        <f>"3"</f>
        <v>3</v>
      </c>
      <c r="D34" t="str">
        <f>"3"</f>
        <v>3</v>
      </c>
    </row>
    <row r="35">
      <c r="A35" t="s">
        <v>317</v>
      </c>
      <c r="B35" t="str">
        <f>"77"</f>
        <v>77</v>
      </c>
      <c r="C35" t="s">
        <v>318</v>
      </c>
      <c r="D35" t="s">
        <v>319</v>
      </c>
    </row>
    <row r="36">
      <c r="A36" t="s">
        <v>317</v>
      </c>
      <c r="B36" t="str">
        <f>"33"</f>
        <v>33</v>
      </c>
      <c r="C36" t="s">
        <v>290</v>
      </c>
      <c r="D36" t="s">
        <v>316</v>
      </c>
    </row>
    <row r="37">
      <c r="A37" t="s">
        <v>320</v>
      </c>
      <c r="B37" t="str">
        <f>"1"</f>
        <v>1</v>
      </c>
      <c r="C37" t="s">
        <v>321</v>
      </c>
      <c r="D37" t="s">
        <v>322</v>
      </c>
    </row>
    <row r="38">
      <c r="A38" t="s">
        <v>323</v>
      </c>
      <c r="B38" t="str">
        <f>"88888"</f>
        <v>88888</v>
      </c>
      <c r="C38" t="s">
        <v>324</v>
      </c>
      <c r="D38" t="s">
        <v>325</v>
      </c>
    </row>
    <row r="39">
      <c r="A39" t="s">
        <v>323</v>
      </c>
      <c r="B39" t="str">
        <f>"77777"</f>
        <v>77777</v>
      </c>
      <c r="C39" t="s">
        <v>290</v>
      </c>
      <c r="D39" t="s">
        <v>291</v>
      </c>
    </row>
    <row r="40">
      <c r="A40" t="s">
        <v>326</v>
      </c>
      <c r="B40" t="str">
        <f>"3"</f>
        <v>3</v>
      </c>
      <c r="C40" t="s">
        <v>327</v>
      </c>
      <c r="D40" t="s">
        <v>327</v>
      </c>
    </row>
    <row r="41">
      <c r="A41" t="s">
        <v>326</v>
      </c>
      <c r="B41" t="str">
        <f>"1"</f>
        <v>1</v>
      </c>
      <c r="C41" t="s">
        <v>328</v>
      </c>
      <c r="D41" t="s">
        <v>328</v>
      </c>
    </row>
    <row r="42">
      <c r="A42" t="s">
        <v>326</v>
      </c>
      <c r="B42" t="str">
        <f>"4"</f>
        <v>4</v>
      </c>
      <c r="C42" t="s">
        <v>329</v>
      </c>
      <c r="D42" t="s">
        <v>329</v>
      </c>
    </row>
    <row r="43">
      <c r="A43" t="s">
        <v>326</v>
      </c>
      <c r="B43" t="str">
        <f>"2"</f>
        <v>2</v>
      </c>
      <c r="C43" t="s">
        <v>330</v>
      </c>
      <c r="D43" t="s">
        <v>330</v>
      </c>
    </row>
    <row r="44">
      <c r="A44" t="s">
        <v>326</v>
      </c>
      <c r="B44" t="str">
        <f>"7"</f>
        <v>7</v>
      </c>
      <c r="C44" t="s">
        <v>331</v>
      </c>
      <c r="D44" t="s">
        <v>331</v>
      </c>
    </row>
    <row r="45">
      <c r="A45" t="s">
        <v>326</v>
      </c>
      <c r="B45" t="str">
        <f>"15"</f>
        <v>15</v>
      </c>
      <c r="C45" t="s">
        <v>332</v>
      </c>
      <c r="D45" t="s">
        <v>332</v>
      </c>
    </row>
    <row r="46">
      <c r="A46" t="s">
        <v>326</v>
      </c>
      <c r="B46" t="str">
        <f>"8"</f>
        <v>8</v>
      </c>
      <c r="C46" t="s">
        <v>333</v>
      </c>
      <c r="D46" t="s">
        <v>333</v>
      </c>
    </row>
    <row r="47">
      <c r="A47" t="s">
        <v>326</v>
      </c>
      <c r="B47" t="str">
        <f>"5"</f>
        <v>5</v>
      </c>
      <c r="C47" t="s">
        <v>334</v>
      </c>
      <c r="D47" t="s">
        <v>334</v>
      </c>
    </row>
    <row r="48">
      <c r="A48" t="s">
        <v>326</v>
      </c>
      <c r="B48" t="str">
        <f>"11"</f>
        <v>11</v>
      </c>
      <c r="C48" t="s">
        <v>335</v>
      </c>
      <c r="D48" t="s">
        <v>335</v>
      </c>
    </row>
    <row r="49">
      <c r="A49" t="s">
        <v>326</v>
      </c>
      <c r="B49" t="str">
        <f>"12"</f>
        <v>12</v>
      </c>
      <c r="C49" t="s">
        <v>336</v>
      </c>
      <c r="D49" t="s">
        <v>336</v>
      </c>
    </row>
    <row r="50">
      <c r="A50" t="s">
        <v>326</v>
      </c>
      <c r="B50" t="str">
        <f>"13"</f>
        <v>13</v>
      </c>
      <c r="C50" t="s">
        <v>337</v>
      </c>
      <c r="D50" t="s">
        <v>337</v>
      </c>
    </row>
    <row r="51">
      <c r="A51" t="s">
        <v>326</v>
      </c>
      <c r="B51" t="str">
        <f>"14"</f>
        <v>14</v>
      </c>
      <c r="C51" t="s">
        <v>338</v>
      </c>
      <c r="D51" t="s">
        <v>338</v>
      </c>
    </row>
    <row r="52">
      <c r="A52" s="10" t="s">
        <v>241</v>
      </c>
      <c r="B52" s="10" t="str">
        <f>"1"</f>
        <v>1</v>
      </c>
      <c r="C52" s="10" t="s">
        <v>339</v>
      </c>
      <c r="D52" s="10" t="s">
        <v>339</v>
      </c>
    </row>
    <row r="53">
      <c r="A53" s="10" t="s">
        <v>241</v>
      </c>
      <c r="B53" s="10" t="str">
        <f>"2"</f>
        <v>2</v>
      </c>
      <c r="C53" s="10" t="s">
        <v>340</v>
      </c>
      <c r="D53" s="10" t="s">
        <v>340</v>
      </c>
    </row>
    <row r="54">
      <c r="A54" s="10" t="s">
        <v>241</v>
      </c>
      <c r="B54" s="10" t="str">
        <f>"3"</f>
        <v>3</v>
      </c>
      <c r="C54" s="10" t="s">
        <v>341</v>
      </c>
      <c r="D54" s="10" t="s">
        <v>341</v>
      </c>
    </row>
    <row r="55">
      <c r="A55" s="10" t="s">
        <v>241</v>
      </c>
      <c r="B55" s="10" t="str">
        <f>"4"</f>
        <v>4</v>
      </c>
      <c r="C55" s="10" t="s">
        <v>342</v>
      </c>
      <c r="D55" s="10" t="s">
        <v>342</v>
      </c>
    </row>
    <row r="56">
      <c r="A56" s="10" t="s">
        <v>241</v>
      </c>
      <c r="B56" s="10" t="str">
        <f>"5"</f>
        <v>5</v>
      </c>
      <c r="C56" s="10" t="s">
        <v>343</v>
      </c>
      <c r="D56" s="10" t="s">
        <v>343</v>
      </c>
    </row>
    <row r="57">
      <c r="A57" s="10" t="s">
        <v>241</v>
      </c>
      <c r="B57" s="10" t="str">
        <f>"6"</f>
        <v>6</v>
      </c>
      <c r="C57" s="10" t="s">
        <v>344</v>
      </c>
      <c r="D57" s="10" t="s">
        <v>344</v>
      </c>
    </row>
    <row r="58">
      <c r="A58" s="10" t="s">
        <v>241</v>
      </c>
      <c r="B58" s="10" t="str">
        <f>"7"</f>
        <v>7</v>
      </c>
      <c r="C58" s="10" t="s">
        <v>345</v>
      </c>
      <c r="D58" s="10" t="s">
        <v>345</v>
      </c>
    </row>
    <row r="59">
      <c r="A59" s="10" t="s">
        <v>241</v>
      </c>
      <c r="B59" s="10" t="str">
        <f>"8"</f>
        <v>8</v>
      </c>
      <c r="C59" s="10" t="s">
        <v>346</v>
      </c>
      <c r="D59" s="10" t="s">
        <v>346</v>
      </c>
    </row>
    <row r="60">
      <c r="A60" s="10" t="s">
        <v>241</v>
      </c>
      <c r="B60" s="10" t="str">
        <f>"9"</f>
        <v>9</v>
      </c>
      <c r="C60" s="10" t="s">
        <v>347</v>
      </c>
      <c r="D60" s="10" t="s">
        <v>347</v>
      </c>
    </row>
    <row r="61" ht="14.25">
      <c r="A61" s="10" t="s">
        <v>241</v>
      </c>
      <c r="B61" s="10" t="str">
        <f>"10"</f>
        <v>10</v>
      </c>
      <c r="C61" s="10" t="s">
        <v>348</v>
      </c>
      <c r="D61" s="10" t="s">
        <v>348</v>
      </c>
    </row>
    <row r="62" ht="15">
      <c r="A62" s="10" t="s">
        <v>241</v>
      </c>
      <c r="B62" s="10" t="str">
        <f>"11"</f>
        <v>11</v>
      </c>
      <c r="C62" s="10" t="s">
        <v>349</v>
      </c>
      <c r="D62" s="10" t="s">
        <v>349</v>
      </c>
    </row>
    <row r="63" ht="15">
      <c r="A63" s="10" t="s">
        <v>241</v>
      </c>
      <c r="B63" s="10" t="str">
        <f>"12"</f>
        <v>12</v>
      </c>
      <c r="C63" s="10" t="s">
        <v>350</v>
      </c>
      <c r="D63" s="10" t="s">
        <v>350</v>
      </c>
    </row>
    <row r="64" ht="15">
      <c r="A64" s="10" t="s">
        <v>241</v>
      </c>
      <c r="B64" s="10" t="str">
        <f>"13"</f>
        <v>13</v>
      </c>
      <c r="C64" s="10" t="s">
        <v>351</v>
      </c>
      <c r="D64" s="10" t="s">
        <v>351</v>
      </c>
    </row>
    <row r="65">
      <c r="A65" s="10" t="s">
        <v>241</v>
      </c>
      <c r="B65" s="10" t="str">
        <f>"14"</f>
        <v>14</v>
      </c>
      <c r="C65" s="10" t="s">
        <v>352</v>
      </c>
      <c r="D65" s="10" t="s">
        <v>352</v>
      </c>
    </row>
    <row r="66">
      <c r="A66" s="10" t="s">
        <v>241</v>
      </c>
      <c r="B66" s="10" t="str">
        <f>"15"</f>
        <v>15</v>
      </c>
      <c r="C66" s="10" t="s">
        <v>353</v>
      </c>
      <c r="D66" s="10" t="s">
        <v>353</v>
      </c>
    </row>
    <row r="67">
      <c r="A67" s="10" t="s">
        <v>241</v>
      </c>
      <c r="B67" s="10" t="str">
        <f>"16"</f>
        <v>16</v>
      </c>
      <c r="C67" s="10" t="s">
        <v>354</v>
      </c>
      <c r="D67" s="10" t="s">
        <v>354</v>
      </c>
    </row>
    <row r="68">
      <c r="A68" s="10" t="s">
        <v>241</v>
      </c>
      <c r="B68" s="10" t="str">
        <f>"17"</f>
        <v>17</v>
      </c>
      <c r="C68" s="10" t="s">
        <v>355</v>
      </c>
      <c r="D68" s="10" t="s">
        <v>355</v>
      </c>
    </row>
    <row r="69">
      <c r="A69" s="10" t="s">
        <v>241</v>
      </c>
      <c r="B69" s="10" t="str">
        <f>"18"</f>
        <v>18</v>
      </c>
      <c r="C69" s="10" t="s">
        <v>356</v>
      </c>
      <c r="D69" s="10" t="s">
        <v>356</v>
      </c>
    </row>
    <row r="70">
      <c r="A70" s="10" t="s">
        <v>241</v>
      </c>
      <c r="B70" s="10" t="str">
        <f>"77"</f>
        <v>77</v>
      </c>
      <c r="C70" s="10" t="s">
        <v>305</v>
      </c>
      <c r="D70" s="10" t="s">
        <v>306</v>
      </c>
    </row>
    <row r="71">
      <c r="B71" s="14"/>
    </row>
    <row r="72">
      <c r="B72" s="14"/>
    </row>
    <row r="73">
      <c r="B73" s="14"/>
    </row>
    <row r="74">
      <c r="B74" s="14"/>
    </row>
    <row r="75">
      <c r="B75" s="14"/>
    </row>
    <row r="76">
      <c r="B76" s="14"/>
    </row>
    <row r="77">
      <c r="B77" s="14"/>
    </row>
    <row r="78">
      <c r="B78" s="14"/>
    </row>
    <row r="79">
      <c r="B79" s="14"/>
    </row>
    <row r="80">
      <c r="B80" s="14"/>
    </row>
    <row r="81">
      <c r="B81" s="14"/>
    </row>
    <row r="82">
      <c r="B82" s="14"/>
    </row>
    <row r="83">
      <c r="B83" s="14"/>
    </row>
    <row r="84">
      <c r="B84" s="14"/>
    </row>
    <row r="85">
      <c r="B85" s="14"/>
    </row>
    <row r="86">
      <c r="B86" s="14"/>
    </row>
    <row r="87">
      <c r="B87" s="14"/>
    </row>
    <row r="88">
      <c r="B88" s="14"/>
    </row>
    <row r="89">
      <c r="B89" s="14"/>
    </row>
    <row r="90">
      <c r="B90" s="14"/>
    </row>
    <row r="91">
      <c r="B91" s="14"/>
    </row>
    <row r="92">
      <c r="B92" s="14"/>
    </row>
    <row r="93">
      <c r="B93" s="14"/>
      <c r="C93" s="14"/>
    </row>
    <row r="94">
      <c r="B94" s="14"/>
      <c r="C94" s="14"/>
    </row>
    <row r="95">
      <c r="B95" s="14"/>
      <c r="C95" s="14"/>
    </row>
    <row r="96">
      <c r="B96" s="14"/>
      <c r="C96" s="14"/>
    </row>
    <row r="97">
      <c r="B97" s="14"/>
      <c r="C97" s="14"/>
    </row>
    <row r="98">
      <c r="B98" s="14"/>
      <c r="C98" s="14"/>
    </row>
    <row r="99">
      <c r="B99" s="14"/>
      <c r="C99" s="14"/>
    </row>
    <row r="100">
      <c r="C100" s="14"/>
    </row>
    <row r="101">
      <c r="B101" s="14"/>
      <c r="C101" s="14"/>
    </row>
    <row r="102">
      <c r="B102" s="14"/>
      <c r="C102" s="14"/>
    </row>
    <row r="103">
      <c r="B103" s="14"/>
      <c r="C103" s="14"/>
    </row>
    <row r="104">
      <c r="B104" s="14"/>
      <c r="C104" s="14"/>
    </row>
    <row r="105">
      <c r="B105" s="14"/>
      <c r="C105" s="14"/>
    </row>
    <row r="106">
      <c r="B106" s="14"/>
      <c r="C106" s="14"/>
    </row>
    <row r="107">
      <c r="B107" s="14"/>
      <c r="C107" s="14"/>
    </row>
    <row r="108">
      <c r="B108" s="14"/>
      <c r="C108" s="14"/>
    </row>
    <row r="109">
      <c r="B109" s="14"/>
      <c r="C109" s="14"/>
    </row>
    <row r="110">
      <c r="B110" s="14"/>
      <c r="C110" s="14"/>
    </row>
    <row r="111">
      <c r="B111" s="14"/>
      <c r="C111" s="14"/>
    </row>
    <row r="112">
      <c r="B112" s="14"/>
      <c r="C112" s="14"/>
    </row>
    <row r="113">
      <c r="B113" s="14"/>
      <c r="C113" s="14"/>
    </row>
    <row r="114">
      <c r="B114" s="14"/>
      <c r="C114" s="14"/>
    </row>
    <row r="115">
      <c r="B115" s="14"/>
      <c r="C115" s="14"/>
    </row>
    <row r="116">
      <c r="B116" s="14"/>
      <c r="C116" s="14"/>
    </row>
    <row r="117">
      <c r="B117" s="14"/>
      <c r="C117" s="14"/>
    </row>
    <row r="118">
      <c r="B118" s="14"/>
      <c r="C118" s="14"/>
    </row>
    <row r="119">
      <c r="B119" s="14"/>
    </row>
    <row r="120">
      <c r="B120" s="14"/>
    </row>
    <row r="121">
      <c r="B121" s="14"/>
    </row>
    <row r="122">
      <c r="B122" s="14"/>
    </row>
    <row r="123">
      <c r="B123" s="14"/>
    </row>
    <row r="124">
      <c r="B124" s="14"/>
    </row>
    <row r="125">
      <c r="B125" s="14"/>
    </row>
    <row r="127">
      <c r="B127" s="14"/>
    </row>
    <row r="128">
      <c r="B128" s="14"/>
    </row>
    <row r="129">
      <c r="B129" s="14"/>
    </row>
    <row r="130">
      <c r="B130" s="14"/>
    </row>
    <row r="131">
      <c r="B131" s="14"/>
    </row>
    <row r="132">
      <c r="B132" s="14"/>
    </row>
    <row r="133">
      <c r="B133" s="14"/>
    </row>
    <row r="134">
      <c r="B134" s="14"/>
    </row>
    <row r="135">
      <c r="B135" s="14"/>
    </row>
    <row r="136">
      <c r="B136" s="14"/>
    </row>
    <row r="137">
      <c r="B137" s="14"/>
    </row>
    <row r="138">
      <c r="B138" s="14"/>
    </row>
    <row r="139">
      <c r="B139" s="14"/>
    </row>
    <row r="140">
      <c r="B140" s="14"/>
    </row>
    <row r="141">
      <c r="B141" s="14"/>
    </row>
    <row r="142">
      <c r="B142" s="14"/>
    </row>
    <row r="143">
      <c r="B143" s="14"/>
    </row>
    <row r="144">
      <c r="B144" s="14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B10" activeCellId="0" sqref="B10"/>
    </sheetView>
  </sheetViews>
  <sheetFormatPr defaultRowHeight="14.5"/>
  <cols>
    <col bestFit="1" customWidth="1" min="1" max="1" width="16.7265625"/>
    <col bestFit="1" customWidth="1" min="2" max="2" width="40.54296875"/>
  </cols>
  <sheetData>
    <row r="1">
      <c r="A1" s="15" t="s">
        <v>357</v>
      </c>
      <c r="B1" s="15" t="s">
        <v>29</v>
      </c>
    </row>
    <row r="2" s="11" customFormat="1">
      <c r="A2" s="11" t="s">
        <v>358</v>
      </c>
      <c r="B2" s="11" t="s">
        <v>359</v>
      </c>
    </row>
    <row r="3" s="11" customFormat="1">
      <c r="A3" s="11" t="s">
        <v>360</v>
      </c>
      <c r="B3" s="11" t="s">
        <v>361</v>
      </c>
    </row>
    <row r="4" s="11" customFormat="1">
      <c r="A4" s="11" t="s">
        <v>362</v>
      </c>
      <c r="B4" s="11" t="s">
        <v>363</v>
      </c>
    </row>
    <row r="5" s="11" customFormat="1">
      <c r="A5" s="11" t="s">
        <v>364</v>
      </c>
      <c r="B5" s="11" t="s">
        <v>365</v>
      </c>
    </row>
    <row r="6" s="11" customFormat="1">
      <c r="A6" s="11" t="s">
        <v>366</v>
      </c>
      <c r="B6" s="11" t="s">
        <v>367</v>
      </c>
    </row>
    <row r="7" s="11" customFormat="1">
      <c r="A7" s="11" t="s">
        <v>368</v>
      </c>
      <c r="B7" s="11" t="s">
        <v>369</v>
      </c>
    </row>
    <row r="8">
      <c r="A8" t="s">
        <v>370</v>
      </c>
      <c r="B8" s="11" t="s">
        <v>371</v>
      </c>
    </row>
    <row r="9">
      <c r="A9" t="s">
        <v>372</v>
      </c>
      <c r="B9" s="11" t="s">
        <v>373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A3" activeCellId="0" sqref="A3"/>
    </sheetView>
  </sheetViews>
  <sheetFormatPr defaultRowHeight="14.5"/>
  <cols>
    <col bestFit="1" customWidth="1" min="1" max="1" width="18.81640625"/>
    <col bestFit="1" customWidth="1" min="2" max="2" width="6"/>
    <col bestFit="1" customWidth="1" min="3" max="3" width="12.81640625"/>
    <col bestFit="1" customWidth="1" min="4" max="4" width="34.1796875"/>
  </cols>
  <sheetData>
    <row r="1" s="7" customFormat="1">
      <c r="A1" s="7" t="s">
        <v>374</v>
      </c>
      <c r="B1" s="7" t="s">
        <v>24</v>
      </c>
      <c r="C1" s="7" t="s">
        <v>375</v>
      </c>
      <c r="D1" s="7" t="s">
        <v>376</v>
      </c>
    </row>
    <row r="2">
      <c r="A2" t="s">
        <v>47</v>
      </c>
      <c r="B2" t="s">
        <v>377</v>
      </c>
      <c r="C2" t="s">
        <v>377</v>
      </c>
      <c r="D2" t="s">
        <v>378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B78" activeCellId="0" sqref="B78"/>
    </sheetView>
  </sheetViews>
  <sheetFormatPr defaultRowHeight="14.25"/>
  <cols>
    <col bestFit="1" customWidth="1" min="1" max="1" width="13.7265625"/>
    <col bestFit="1" customWidth="1" min="2" max="2" width="23.1796875"/>
    <col bestFit="1" customWidth="1" min="3" max="3" width="16.7265625"/>
  </cols>
  <sheetData>
    <row r="1" s="1" customFormat="1">
      <c r="A1" s="1" t="s">
        <v>26</v>
      </c>
      <c r="B1" s="1" t="s">
        <v>24</v>
      </c>
      <c r="C1" s="1" t="s">
        <v>379</v>
      </c>
      <c r="D1" s="1" t="s">
        <v>376</v>
      </c>
    </row>
    <row r="2" s="2" customFormat="1">
      <c r="A2" s="2" t="s">
        <v>58</v>
      </c>
      <c r="B2" s="2" t="s">
        <v>40</v>
      </c>
      <c r="C2" s="2" t="b">
        <v>0</v>
      </c>
      <c r="D2" s="2" t="s">
        <v>380</v>
      </c>
    </row>
    <row r="3" s="2" customFormat="1">
      <c r="A3" s="2" t="s">
        <v>54</v>
      </c>
      <c r="B3" s="2" t="s">
        <v>40</v>
      </c>
      <c r="C3" s="2" t="b">
        <v>0</v>
      </c>
    </row>
    <row r="4" s="2" customFormat="1">
      <c r="A4" s="2" t="s">
        <v>42</v>
      </c>
      <c r="B4" s="2" t="s">
        <v>40</v>
      </c>
      <c r="C4" s="2" t="b">
        <v>0</v>
      </c>
    </row>
    <row r="5" s="2" customFormat="1">
      <c r="A5" s="2" t="s">
        <v>120</v>
      </c>
      <c r="B5" s="2" t="s">
        <v>61</v>
      </c>
      <c r="C5" s="2" t="b">
        <v>0</v>
      </c>
    </row>
    <row r="6" s="2" customFormat="1">
      <c r="A6" s="2" t="s">
        <v>110</v>
      </c>
      <c r="B6" s="2" t="s">
        <v>61</v>
      </c>
      <c r="C6" s="2" t="b">
        <v>0</v>
      </c>
    </row>
    <row r="7" s="2" customFormat="1">
      <c r="A7" s="2" t="s">
        <v>63</v>
      </c>
      <c r="B7" s="2" t="s">
        <v>61</v>
      </c>
      <c r="C7" s="2" t="b">
        <v>0</v>
      </c>
    </row>
    <row r="8" s="2" customFormat="1">
      <c r="A8" s="2" t="s">
        <v>124</v>
      </c>
      <c r="B8" s="2" t="s">
        <v>61</v>
      </c>
      <c r="C8" s="2" t="b">
        <v>0</v>
      </c>
    </row>
    <row r="9" s="2" customFormat="1">
      <c r="A9" s="2" t="s">
        <v>114</v>
      </c>
      <c r="B9" s="2" t="s">
        <v>61</v>
      </c>
      <c r="C9" s="2" t="b">
        <v>0</v>
      </c>
    </row>
    <row r="10" s="2" customFormat="1">
      <c r="A10" s="2" t="s">
        <v>97</v>
      </c>
      <c r="B10" s="2" t="s">
        <v>61</v>
      </c>
      <c r="C10" s="2" t="b">
        <v>0</v>
      </c>
    </row>
    <row r="11" s="2" customFormat="1">
      <c r="A11" s="2" t="s">
        <v>127</v>
      </c>
      <c r="B11" s="2" t="s">
        <v>61</v>
      </c>
      <c r="C11" s="2" t="b">
        <v>0</v>
      </c>
    </row>
    <row r="12" s="2" customFormat="1">
      <c r="A12" s="2" t="s">
        <v>117</v>
      </c>
      <c r="B12" s="2" t="s">
        <v>61</v>
      </c>
      <c r="C12" s="2" t="b">
        <v>0</v>
      </c>
    </row>
    <row r="13" s="2" customFormat="1">
      <c r="A13" s="2" t="s">
        <v>105</v>
      </c>
      <c r="B13" s="2" t="s">
        <v>61</v>
      </c>
      <c r="C13" s="2" t="b">
        <v>0</v>
      </c>
    </row>
    <row r="14" s="2" customFormat="1">
      <c r="A14" s="2" t="s">
        <v>59</v>
      </c>
      <c r="B14" s="2" t="s">
        <v>47</v>
      </c>
      <c r="C14" s="2" t="b">
        <v>0</v>
      </c>
    </row>
    <row r="15" s="2" customFormat="1">
      <c r="A15" s="2" t="s">
        <v>55</v>
      </c>
      <c r="B15" s="2" t="s">
        <v>47</v>
      </c>
      <c r="C15" s="2" t="b">
        <v>0</v>
      </c>
    </row>
    <row r="16" s="2" customFormat="1">
      <c r="A16" s="2" t="s">
        <v>45</v>
      </c>
      <c r="B16" s="2" t="s">
        <v>47</v>
      </c>
      <c r="C16" s="2" t="b">
        <v>0</v>
      </c>
    </row>
    <row r="17" s="2" customFormat="1">
      <c r="A17" s="2" t="s">
        <v>38</v>
      </c>
      <c r="B17" s="2" t="s">
        <v>37</v>
      </c>
      <c r="C17" s="2" t="b">
        <v>0</v>
      </c>
    </row>
    <row r="18" s="2" customFormat="1"/>
    <row r="19">
      <c r="A19" t="s">
        <v>91</v>
      </c>
      <c r="B19" t="s">
        <v>47</v>
      </c>
      <c r="C19" t="b">
        <v>1</v>
      </c>
      <c r="D19" t="s">
        <v>381</v>
      </c>
    </row>
    <row r="20">
      <c r="A20" t="s">
        <v>144</v>
      </c>
      <c r="B20" t="s">
        <v>47</v>
      </c>
      <c r="C20" t="b">
        <v>0</v>
      </c>
    </row>
    <row r="21">
      <c r="A21" t="s">
        <v>157</v>
      </c>
      <c r="B21" t="s">
        <v>156</v>
      </c>
      <c r="C21" t="b">
        <v>0</v>
      </c>
    </row>
    <row r="22">
      <c r="A22" t="s">
        <v>160</v>
      </c>
      <c r="B22" t="s">
        <v>156</v>
      </c>
      <c r="C22" t="b">
        <v>0</v>
      </c>
    </row>
    <row r="23">
      <c r="A23" t="s">
        <v>152</v>
      </c>
      <c r="B23" t="s">
        <v>150</v>
      </c>
      <c r="C23" t="b">
        <v>1</v>
      </c>
    </row>
    <row r="24">
      <c r="A24" t="s">
        <v>382</v>
      </c>
      <c r="B24" t="s">
        <v>150</v>
      </c>
      <c r="C24" t="b">
        <v>0</v>
      </c>
    </row>
    <row r="25">
      <c r="A25" t="s">
        <v>383</v>
      </c>
      <c r="B25" t="s">
        <v>150</v>
      </c>
      <c r="C25" t="b">
        <v>0</v>
      </c>
    </row>
    <row r="26">
      <c r="A26" t="s">
        <v>384</v>
      </c>
      <c r="B26" t="s">
        <v>150</v>
      </c>
      <c r="C26" t="b">
        <v>0</v>
      </c>
    </row>
    <row r="27">
      <c r="A27" t="s">
        <v>385</v>
      </c>
      <c r="B27" t="s">
        <v>219</v>
      </c>
      <c r="C27" t="b">
        <v>0</v>
      </c>
    </row>
    <row r="28">
      <c r="A28" t="s">
        <v>386</v>
      </c>
      <c r="B28" t="s">
        <v>219</v>
      </c>
      <c r="C28" t="b">
        <v>0</v>
      </c>
    </row>
    <row r="29">
      <c r="A29" t="s">
        <v>387</v>
      </c>
      <c r="B29" t="s">
        <v>219</v>
      </c>
      <c r="C29" t="b">
        <v>0</v>
      </c>
    </row>
    <row r="30">
      <c r="A30" t="s">
        <v>388</v>
      </c>
      <c r="B30" t="s">
        <v>389</v>
      </c>
      <c r="C30" t="b">
        <v>0</v>
      </c>
    </row>
    <row r="31">
      <c r="A31" t="s">
        <v>390</v>
      </c>
      <c r="B31" t="s">
        <v>150</v>
      </c>
      <c r="C31" t="b">
        <v>1</v>
      </c>
    </row>
    <row r="32">
      <c r="A32" t="s">
        <v>391</v>
      </c>
      <c r="B32" t="s">
        <v>389</v>
      </c>
      <c r="C32" t="b">
        <v>0</v>
      </c>
    </row>
    <row r="33">
      <c r="A33" t="s">
        <v>392</v>
      </c>
      <c r="B33" t="s">
        <v>150</v>
      </c>
      <c r="C33" t="b">
        <v>1</v>
      </c>
    </row>
    <row r="34">
      <c r="A34" t="s">
        <v>393</v>
      </c>
      <c r="B34" t="s">
        <v>389</v>
      </c>
      <c r="C34" t="b">
        <v>0</v>
      </c>
    </row>
    <row r="35">
      <c r="A35" t="s">
        <v>394</v>
      </c>
      <c r="B35" t="s">
        <v>150</v>
      </c>
      <c r="C35" t="b">
        <v>1</v>
      </c>
    </row>
    <row r="36">
      <c r="A36" t="s">
        <v>395</v>
      </c>
      <c r="B36" t="s">
        <v>396</v>
      </c>
      <c r="C36" t="b">
        <v>0</v>
      </c>
    </row>
    <row r="37">
      <c r="A37" t="s">
        <v>397</v>
      </c>
      <c r="B37" t="s">
        <v>396</v>
      </c>
      <c r="C37" t="b">
        <v>0</v>
      </c>
    </row>
    <row r="38">
      <c r="A38" t="s">
        <v>398</v>
      </c>
      <c r="B38" t="s">
        <v>396</v>
      </c>
      <c r="C38" t="b">
        <v>0</v>
      </c>
    </row>
    <row r="39">
      <c r="A39" t="s">
        <v>399</v>
      </c>
      <c r="B39" t="s">
        <v>156</v>
      </c>
      <c r="C39" t="b">
        <v>0</v>
      </c>
    </row>
    <row r="40">
      <c r="A40" t="s">
        <v>400</v>
      </c>
      <c r="B40" t="s">
        <v>156</v>
      </c>
      <c r="C40" t="b">
        <v>0</v>
      </c>
    </row>
    <row r="41">
      <c r="A41" t="s">
        <v>401</v>
      </c>
      <c r="B41" t="s">
        <v>156</v>
      </c>
      <c r="C41" t="b">
        <v>0</v>
      </c>
    </row>
    <row r="42">
      <c r="A42" t="s">
        <v>402</v>
      </c>
      <c r="B42" t="s">
        <v>61</v>
      </c>
      <c r="C42" t="b">
        <v>0</v>
      </c>
    </row>
    <row r="43">
      <c r="A43" t="s">
        <v>403</v>
      </c>
      <c r="B43" t="s">
        <v>61</v>
      </c>
      <c r="C43" t="b">
        <v>0</v>
      </c>
    </row>
    <row r="44">
      <c r="A44" t="s">
        <v>404</v>
      </c>
      <c r="B44" t="s">
        <v>61</v>
      </c>
      <c r="C44" t="b">
        <v>0</v>
      </c>
    </row>
    <row r="45">
      <c r="A45" t="s">
        <v>405</v>
      </c>
      <c r="B45" t="s">
        <v>61</v>
      </c>
      <c r="C45" t="b">
        <v>0</v>
      </c>
    </row>
    <row r="46">
      <c r="A46" t="s">
        <v>136</v>
      </c>
      <c r="B46" t="s">
        <v>40</v>
      </c>
      <c r="C46" t="b">
        <v>0</v>
      </c>
    </row>
    <row r="47">
      <c r="A47" t="s">
        <v>406</v>
      </c>
      <c r="B47" t="s">
        <v>219</v>
      </c>
      <c r="C47" t="b">
        <v>0</v>
      </c>
    </row>
    <row r="48">
      <c r="A48" t="s">
        <v>407</v>
      </c>
      <c r="B48" t="s">
        <v>61</v>
      </c>
      <c r="C48" t="b">
        <v>0</v>
      </c>
    </row>
    <row r="49">
      <c r="A49" t="s">
        <v>408</v>
      </c>
      <c r="B49" t="s">
        <v>389</v>
      </c>
      <c r="C49" t="b">
        <v>0</v>
      </c>
    </row>
    <row r="50">
      <c r="A50" t="s">
        <v>409</v>
      </c>
      <c r="B50" t="s">
        <v>389</v>
      </c>
      <c r="C50" t="b">
        <v>1</v>
      </c>
      <c r="H50" s="2"/>
      <c r="I50" s="2"/>
    </row>
    <row r="51">
      <c r="A51" t="s">
        <v>410</v>
      </c>
      <c r="B51" t="s">
        <v>389</v>
      </c>
      <c r="C51" t="b">
        <v>1</v>
      </c>
      <c r="H51" s="2"/>
      <c r="I51" s="2"/>
    </row>
    <row r="52">
      <c r="A52" t="s">
        <v>411</v>
      </c>
      <c r="B52" t="s">
        <v>389</v>
      </c>
      <c r="C52" t="b">
        <v>1</v>
      </c>
    </row>
    <row r="53">
      <c r="A53" t="s">
        <v>412</v>
      </c>
      <c r="B53" t="s">
        <v>219</v>
      </c>
      <c r="C53" t="b">
        <v>0</v>
      </c>
    </row>
    <row r="54">
      <c r="A54" t="s">
        <v>413</v>
      </c>
      <c r="B54" t="s">
        <v>61</v>
      </c>
      <c r="C54" t="b">
        <v>0</v>
      </c>
    </row>
    <row r="55">
      <c r="A55" t="s">
        <v>414</v>
      </c>
      <c r="B55" t="s">
        <v>219</v>
      </c>
      <c r="C55" t="b">
        <v>0</v>
      </c>
    </row>
    <row r="56">
      <c r="A56" t="s">
        <v>415</v>
      </c>
      <c r="B56" t="s">
        <v>150</v>
      </c>
      <c r="C56" t="b">
        <v>0</v>
      </c>
    </row>
    <row r="57">
      <c r="A57" t="s">
        <v>140</v>
      </c>
      <c r="B57" t="s">
        <v>61</v>
      </c>
      <c r="C57" t="b">
        <v>0</v>
      </c>
    </row>
    <row r="59">
      <c r="A59" t="s">
        <v>416</v>
      </c>
      <c r="B59" s="2" t="s">
        <v>156</v>
      </c>
      <c r="C59" s="2" t="b">
        <v>1</v>
      </c>
      <c r="D59" t="s">
        <v>417</v>
      </c>
    </row>
    <row r="60">
      <c r="A60" t="s">
        <v>418</v>
      </c>
      <c r="B60" s="2" t="s">
        <v>156</v>
      </c>
      <c r="C60" s="2" t="b">
        <v>1</v>
      </c>
    </row>
    <row r="61">
      <c r="A61" t="s">
        <v>419</v>
      </c>
      <c r="B61" s="2" t="s">
        <v>156</v>
      </c>
      <c r="C61" s="2" t="b">
        <v>1</v>
      </c>
    </row>
    <row r="62">
      <c r="A62" t="s">
        <v>420</v>
      </c>
      <c r="B62" t="s">
        <v>47</v>
      </c>
      <c r="C62" t="b">
        <v>0</v>
      </c>
    </row>
    <row r="63">
      <c r="A63" t="s">
        <v>421</v>
      </c>
      <c r="B63" t="s">
        <v>47</v>
      </c>
      <c r="C63" t="b">
        <v>0</v>
      </c>
    </row>
    <row r="64">
      <c r="A64" t="s">
        <v>422</v>
      </c>
      <c r="B64" t="s">
        <v>156</v>
      </c>
      <c r="C64" t="b">
        <v>0</v>
      </c>
    </row>
    <row r="65">
      <c r="A65" s="2" t="s">
        <v>423</v>
      </c>
      <c r="B65" s="2" t="s">
        <v>156</v>
      </c>
      <c r="C65" t="b">
        <v>0</v>
      </c>
    </row>
    <row r="66" s="2" customFormat="1">
      <c r="A66" s="2" t="s">
        <v>424</v>
      </c>
      <c r="B66" s="2" t="s">
        <v>156</v>
      </c>
      <c r="C66" t="b">
        <v>0</v>
      </c>
    </row>
    <row r="67" s="2" customFormat="1">
      <c r="A67" s="2" t="s">
        <v>425</v>
      </c>
      <c r="B67" s="2" t="s">
        <v>219</v>
      </c>
      <c r="C67" s="2" t="b">
        <v>0</v>
      </c>
    </row>
    <row r="68" s="2" customFormat="1">
      <c r="A68" t="s">
        <v>426</v>
      </c>
      <c r="B68" t="s">
        <v>219</v>
      </c>
      <c r="C68" t="b">
        <v>0</v>
      </c>
    </row>
    <row r="69">
      <c r="A69" t="s">
        <v>427</v>
      </c>
      <c r="B69" t="s">
        <v>219</v>
      </c>
      <c r="C69" t="b">
        <v>0</v>
      </c>
    </row>
    <row r="70">
      <c r="A70" t="s">
        <v>428</v>
      </c>
      <c r="B70" t="s">
        <v>219</v>
      </c>
      <c r="C70" t="b">
        <v>0</v>
      </c>
    </row>
    <row r="71">
      <c r="A71" t="s">
        <v>429</v>
      </c>
      <c r="B71" t="s">
        <v>61</v>
      </c>
      <c r="C71" t="b">
        <v>0</v>
      </c>
    </row>
    <row r="72">
      <c r="A72" t="s">
        <v>430</v>
      </c>
      <c r="B72" t="s">
        <v>219</v>
      </c>
      <c r="C72" t="b">
        <v>0</v>
      </c>
    </row>
    <row r="73">
      <c r="A73" t="s">
        <v>431</v>
      </c>
      <c r="B73" t="s">
        <v>219</v>
      </c>
      <c r="C73" t="b">
        <v>0</v>
      </c>
    </row>
    <row r="74">
      <c r="A74" t="s">
        <v>432</v>
      </c>
      <c r="B74" t="s">
        <v>219</v>
      </c>
      <c r="C74" t="b">
        <v>0</v>
      </c>
    </row>
    <row r="75">
      <c r="A75" s="2" t="s">
        <v>433</v>
      </c>
      <c r="B75" s="2" t="s">
        <v>156</v>
      </c>
      <c r="C75" s="2" t="b">
        <v>0</v>
      </c>
    </row>
    <row r="76">
      <c r="A76" s="2" t="s">
        <v>434</v>
      </c>
      <c r="B76" s="2" t="s">
        <v>156</v>
      </c>
      <c r="C76" s="2" t="b">
        <v>0</v>
      </c>
    </row>
    <row r="77">
      <c r="A77" s="2" t="s">
        <v>435</v>
      </c>
      <c r="B77" s="2" t="s">
        <v>156</v>
      </c>
      <c r="C77" s="2" t="b">
        <v>0</v>
      </c>
    </row>
    <row r="79" ht="14.25">
      <c r="A79" t="s">
        <v>436</v>
      </c>
    </row>
    <row r="80" ht="14.25">
      <c r="A80" t="s">
        <v>170</v>
      </c>
      <c r="B80" t="s">
        <v>169</v>
      </c>
      <c r="C80" t="b">
        <v>0</v>
      </c>
    </row>
    <row r="81" ht="14.25">
      <c r="A81" t="s">
        <v>175</v>
      </c>
      <c r="B81" t="s">
        <v>150</v>
      </c>
      <c r="C81" t="b">
        <v>0</v>
      </c>
    </row>
    <row r="82" ht="14.25">
      <c r="A82" t="s">
        <v>179</v>
      </c>
      <c r="B82" t="s">
        <v>61</v>
      </c>
      <c r="C82" t="b">
        <v>0</v>
      </c>
    </row>
    <row r="83" ht="14.25">
      <c r="A83" t="s">
        <v>183</v>
      </c>
      <c r="B83" t="s">
        <v>150</v>
      </c>
      <c r="C83" t="b">
        <v>0</v>
      </c>
    </row>
    <row r="84" ht="14.25">
      <c r="A84" t="s">
        <v>184</v>
      </c>
      <c r="B84" t="s">
        <v>61</v>
      </c>
      <c r="C84" t="b">
        <v>0</v>
      </c>
    </row>
    <row r="85" ht="14.25">
      <c r="A85" t="s">
        <v>189</v>
      </c>
      <c r="B85" t="s">
        <v>188</v>
      </c>
      <c r="C85" t="b">
        <v>0</v>
      </c>
    </row>
    <row r="86" ht="14.25">
      <c r="A86" t="s">
        <v>190</v>
      </c>
      <c r="B86" t="s">
        <v>61</v>
      </c>
      <c r="C86" t="b">
        <v>0</v>
      </c>
    </row>
    <row r="87" ht="14.25">
      <c r="A87" t="s">
        <v>194</v>
      </c>
      <c r="B87" t="s">
        <v>188</v>
      </c>
      <c r="C87" t="b">
        <v>0</v>
      </c>
    </row>
    <row r="88" ht="14.25">
      <c r="A88" t="s">
        <v>195</v>
      </c>
      <c r="B88" t="s">
        <v>61</v>
      </c>
      <c r="C88" t="b">
        <v>0</v>
      </c>
    </row>
    <row r="89" ht="14.25">
      <c r="A89" t="s">
        <v>199</v>
      </c>
      <c r="B89" t="s">
        <v>188</v>
      </c>
      <c r="C89" t="b">
        <v>0</v>
      </c>
    </row>
    <row r="90" ht="14.25">
      <c r="A90" t="s">
        <v>200</v>
      </c>
      <c r="B90" t="s">
        <v>61</v>
      </c>
      <c r="C90" t="b">
        <v>0</v>
      </c>
    </row>
    <row r="91" ht="14.25">
      <c r="A91" t="s">
        <v>204</v>
      </c>
      <c r="B91" t="s">
        <v>150</v>
      </c>
      <c r="C91" t="b">
        <v>0</v>
      </c>
    </row>
    <row r="92" ht="14.25">
      <c r="A92" t="s">
        <v>205</v>
      </c>
      <c r="B92" t="s">
        <v>61</v>
      </c>
      <c r="C92" t="b">
        <v>0</v>
      </c>
    </row>
    <row r="93" ht="14.25">
      <c r="A93" t="s">
        <v>209</v>
      </c>
      <c r="B93" t="s">
        <v>150</v>
      </c>
      <c r="C93" t="b">
        <v>0</v>
      </c>
    </row>
    <row r="94" ht="14.25">
      <c r="A94" t="s">
        <v>210</v>
      </c>
      <c r="B94" t="s">
        <v>61</v>
      </c>
      <c r="C94" t="b">
        <v>0</v>
      </c>
    </row>
    <row r="95" ht="14.25">
      <c r="A95" t="s">
        <v>214</v>
      </c>
      <c r="B95" t="s">
        <v>150</v>
      </c>
      <c r="C95" t="b">
        <v>0</v>
      </c>
    </row>
    <row r="96" ht="14.25">
      <c r="A96" t="s">
        <v>215</v>
      </c>
      <c r="B96" t="s">
        <v>61</v>
      </c>
      <c r="C96" t="b">
        <v>0</v>
      </c>
    </row>
    <row r="97" ht="14.25">
      <c r="A97" t="s">
        <v>220</v>
      </c>
      <c r="B97" t="s">
        <v>219</v>
      </c>
      <c r="C97" t="b">
        <v>0</v>
      </c>
    </row>
    <row r="98" ht="14.25">
      <c r="A98" t="s">
        <v>223</v>
      </c>
      <c r="B98" t="s">
        <v>150</v>
      </c>
      <c r="C98" t="b">
        <v>0</v>
      </c>
    </row>
    <row r="99" ht="14.25">
      <c r="A99" t="s">
        <v>224</v>
      </c>
      <c r="B99" t="s">
        <v>61</v>
      </c>
      <c r="C99" t="b">
        <v>0</v>
      </c>
    </row>
    <row r="100" ht="14.25">
      <c r="A100" t="s">
        <v>228</v>
      </c>
      <c r="B100" t="s">
        <v>150</v>
      </c>
      <c r="C100" t="b">
        <v>0</v>
      </c>
    </row>
    <row r="101" ht="14.25">
      <c r="A101" t="s">
        <v>229</v>
      </c>
      <c r="B101" t="s">
        <v>219</v>
      </c>
      <c r="C101" t="b">
        <v>0</v>
      </c>
    </row>
    <row r="102" ht="14.25">
      <c r="A102" t="s">
        <v>233</v>
      </c>
      <c r="B102" t="s">
        <v>61</v>
      </c>
      <c r="C102" t="b">
        <v>0</v>
      </c>
    </row>
    <row r="103" ht="14.25">
      <c r="A103" t="s">
        <v>236</v>
      </c>
      <c r="B103" t="s">
        <v>61</v>
      </c>
      <c r="C103" t="b">
        <v>0</v>
      </c>
    </row>
    <row r="104" ht="14.25">
      <c r="A104" t="s">
        <v>240</v>
      </c>
      <c r="B104" t="s">
        <v>150</v>
      </c>
      <c r="C104" t="b">
        <v>0</v>
      </c>
    </row>
    <row r="105" ht="14.25">
      <c r="A105" t="s">
        <v>242</v>
      </c>
      <c r="B105" t="s">
        <v>150</v>
      </c>
      <c r="C105" t="b">
        <v>0</v>
      </c>
    </row>
    <row r="106" ht="14.25">
      <c r="A106" t="s">
        <v>246</v>
      </c>
      <c r="B106" t="s">
        <v>219</v>
      </c>
      <c r="C106" t="b">
        <v>0</v>
      </c>
    </row>
    <row r="107" ht="14.25"/>
    <row r="108" ht="14.25"/>
    <row r="109" ht="14.25"/>
    <row r="110" ht="14.25"/>
    <row r="111" ht="14.25"/>
    <row r="112" ht="14.25"/>
    <row r="113" ht="14.25"/>
    <row r="114" ht="14.25"/>
  </sheetData>
  <sortState ref="A59:C104">
    <sortCondition ref="A59:A104"/>
  </sortState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ONLYOFFICE/8.2.0.143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revision>2</cp:revision>
  <dcterms:created xsi:type="dcterms:W3CDTF">2015-06-05T18:19:34Z</dcterms:created>
  <dcterms:modified xsi:type="dcterms:W3CDTF">2025-04-08T08:52:38Z</dcterms:modified>
</cp:coreProperties>
</file>