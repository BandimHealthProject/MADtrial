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fisker\Documents\tablet\MAD\ver6\MADtrial\app\config\tables\MADTRIAL_FU_PHONE\Forms\MADTRIAL_FU_PHONE\"/>
    </mc:Choice>
  </mc:AlternateContent>
  <xr:revisionPtr revIDLastSave="0" documentId="13_ncr:1_{46F83A7C-F559-4520-B8A5-717AB13FDF64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settings" sheetId="1" r:id="rId1"/>
    <sheet name="survey" sheetId="10" r:id="rId2"/>
    <sheet name="FU" sheetId="2" r:id="rId3"/>
    <sheet name="queries" sheetId="8" r:id="rId4"/>
    <sheet name="choices" sheetId="3" r:id="rId5"/>
    <sheet name="calculates" sheetId="7" r:id="rId6"/>
    <sheet name="prompt_types" sheetId="6" r:id="rId7"/>
    <sheet name="model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D36" i="3"/>
  <c r="C36" i="3"/>
  <c r="B36" i="3"/>
  <c r="D35" i="3"/>
  <c r="C35" i="3"/>
  <c r="B35" i="3"/>
  <c r="D34" i="3"/>
  <c r="C34" i="3"/>
  <c r="B34" i="3"/>
  <c r="B33" i="3"/>
  <c r="B32" i="3"/>
  <c r="B31" i="3"/>
  <c r="B30" i="3"/>
  <c r="E29" i="3"/>
  <c r="F28" i="3"/>
  <c r="F27" i="3"/>
  <c r="B25" i="3"/>
  <c r="B24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<sst xmlns="http://schemas.openxmlformats.org/spreadsheetml/2006/main" count="1300" uniqueCount="412">
  <si>
    <t>setting_name</t>
  </si>
  <si>
    <t>value</t>
  </si>
  <si>
    <t>form_id</t>
  </si>
  <si>
    <t>form_version</t>
  </si>
  <si>
    <t>table_id</t>
  </si>
  <si>
    <t>survey</t>
  </si>
  <si>
    <t>clause</t>
  </si>
  <si>
    <t>condition</t>
  </si>
  <si>
    <t>type</t>
  </si>
  <si>
    <t>values_list</t>
  </si>
  <si>
    <t>name</t>
  </si>
  <si>
    <t>display.prompt.text</t>
  </si>
  <si>
    <t>choice_list_name</t>
  </si>
  <si>
    <t>data_value</t>
  </si>
  <si>
    <t>display.title.text</t>
  </si>
  <si>
    <t>isSessionVariable</t>
  </si>
  <si>
    <t>display.locale.text</t>
  </si>
  <si>
    <t>English</t>
  </si>
  <si>
    <t>Inglês</t>
  </si>
  <si>
    <t>Portuguese</t>
  </si>
  <si>
    <t>default</t>
  </si>
  <si>
    <t>calculation</t>
  </si>
  <si>
    <t>branch_label</t>
  </si>
  <si>
    <t>font-size</t>
  </si>
  <si>
    <t>20pt</t>
  </si>
  <si>
    <t>prompt_type_name</t>
  </si>
  <si>
    <t>elementType</t>
  </si>
  <si>
    <t>comment</t>
  </si>
  <si>
    <t>string</t>
  </si>
  <si>
    <t>adate</t>
  </si>
  <si>
    <t>Save only mm.dd.yyyy with support for ?? at all positions</t>
  </si>
  <si>
    <t>calculation_name</t>
  </si>
  <si>
    <t>display.prompt.text.english</t>
  </si>
  <si>
    <t>english</t>
  </si>
  <si>
    <t>display.locale.text.english</t>
  </si>
  <si>
    <t>display.title.text.english</t>
  </si>
  <si>
    <t>MADTRIAL_FU_PHONE</t>
  </si>
  <si>
    <t>begin screen</t>
  </si>
  <si>
    <t>end screen</t>
  </si>
  <si>
    <t>Data da ligação</t>
  </si>
  <si>
    <t>Assistente</t>
  </si>
  <si>
    <t>text</t>
  </si>
  <si>
    <t>select_one</t>
  </si>
  <si>
    <t>cham</t>
  </si>
  <si>
    <t>Seguimento realizado</t>
  </si>
  <si>
    <t>Sem rede</t>
  </si>
  <si>
    <t>integer</t>
  </si>
  <si>
    <t>INFORMADOR</t>
  </si>
  <si>
    <t>Informador</t>
  </si>
  <si>
    <t>Outro</t>
  </si>
  <si>
    <t>Ninguem para fornecer informaçeos</t>
  </si>
  <si>
    <t>sim/não</t>
  </si>
  <si>
    <t>VITALCRI</t>
  </si>
  <si>
    <t>sim/não/nãosabe</t>
  </si>
  <si>
    <t>DOD</t>
  </si>
  <si>
    <t>VACHIS</t>
  </si>
  <si>
    <t>select_multiple</t>
  </si>
  <si>
    <t>vac</t>
  </si>
  <si>
    <t>VACTIPO</t>
  </si>
  <si>
    <t>Qual vacinas?</t>
  </si>
  <si>
    <t>BCG</t>
  </si>
  <si>
    <t>VPO</t>
  </si>
  <si>
    <t>Penta</t>
  </si>
  <si>
    <t>PCV</t>
  </si>
  <si>
    <t>Rota</t>
  </si>
  <si>
    <t>Sarampo</t>
  </si>
  <si>
    <t>VACOUTRO</t>
  </si>
  <si>
    <t>A criança foi internada no hospital desde que foi vacinada contra sarampo em Simão Mendes?</t>
  </si>
  <si>
    <t xml:space="preserve">adate </t>
  </si>
  <si>
    <t>HOSPDATA1</t>
  </si>
  <si>
    <t>if</t>
  </si>
  <si>
    <t>end if</t>
  </si>
  <si>
    <t>HOSPCODE1</t>
  </si>
  <si>
    <t>Local do primeiro Internamento</t>
  </si>
  <si>
    <t>HOSPCAUSA1</t>
  </si>
  <si>
    <t>HOSPDIAS1</t>
  </si>
  <si>
    <t>HOSPI2</t>
  </si>
  <si>
    <t>HOSPDATA2</t>
  </si>
  <si>
    <t>HOSPCAUSA2</t>
  </si>
  <si>
    <t>HOSPALTA2</t>
  </si>
  <si>
    <t>HOSPCODE2</t>
  </si>
  <si>
    <t>A criança esta ainda internada</t>
  </si>
  <si>
    <t>HOSPI3</t>
  </si>
  <si>
    <t xml:space="preserve">if </t>
  </si>
  <si>
    <t>HOSPDATA3</t>
  </si>
  <si>
    <t>Local do terceiro Internamento</t>
  </si>
  <si>
    <t>HOSPCODE3</t>
  </si>
  <si>
    <t>HOSPCAUSA3</t>
  </si>
  <si>
    <t>HOSPDIAS3</t>
  </si>
  <si>
    <t>HOSPALTA3</t>
  </si>
  <si>
    <t>PODEAUT</t>
  </si>
  <si>
    <t>note</t>
  </si>
  <si>
    <t>data('VITALCRI')=="2"</t>
  </si>
  <si>
    <t>HOSPALTA1</t>
  </si>
  <si>
    <t>HOSPDIAS2</t>
  </si>
  <si>
    <t>assign</t>
  </si>
  <si>
    <t>adate.today()</t>
  </si>
  <si>
    <t>select_one_with_other</t>
  </si>
  <si>
    <t>ass</t>
  </si>
  <si>
    <t>inf</t>
  </si>
  <si>
    <t>Mother</t>
  </si>
  <si>
    <t>Mãe</t>
  </si>
  <si>
    <t>Father</t>
  </si>
  <si>
    <t>Pai</t>
  </si>
  <si>
    <t>Other caretaker</t>
  </si>
  <si>
    <t>Tutor</t>
  </si>
  <si>
    <t>No one to provide information</t>
  </si>
  <si>
    <t>dodns</t>
  </si>
  <si>
    <t>ns</t>
  </si>
  <si>
    <t>Don't know</t>
  </si>
  <si>
    <t>Não Sabe</t>
  </si>
  <si>
    <t>DOB</t>
  </si>
  <si>
    <t>"D:NS,M:NS,Y:NS"</t>
  </si>
  <si>
    <t>Idade - ano(s)</t>
  </si>
  <si>
    <t>Age - month(s)</t>
  </si>
  <si>
    <t>Idade - mes(es)</t>
  </si>
  <si>
    <t>data('dodns') != null</t>
  </si>
  <si>
    <t>DODANO</t>
  </si>
  <si>
    <t>DODMES</t>
  </si>
  <si>
    <t>data('DOD')=="D:NS,M:NS,Y:NS"</t>
  </si>
  <si>
    <t>data('VACHIS') == '1'</t>
  </si>
  <si>
    <t>data('HOSPI')=="1"</t>
  </si>
  <si>
    <t>HOSPI</t>
  </si>
  <si>
    <t>HOSPIVEZ</t>
  </si>
  <si>
    <t>vezes</t>
  </si>
  <si>
    <t>More than 3 times</t>
  </si>
  <si>
    <t>data('HOSPIVEZ') &gt; 0</t>
  </si>
  <si>
    <t>hospalta</t>
  </si>
  <si>
    <t>The child still admitted</t>
  </si>
  <si>
    <t>data('HOSPIVEZ') == '33'</t>
  </si>
  <si>
    <t>data('HOSPIVEZ') == '33' &amp;&amp; data('HOSPI2')=="1"</t>
  </si>
  <si>
    <t>data('HOSPI3')=="1" || data('HOSPIVEZ') == '3' || data('HOSPIVEZ') == '77'</t>
  </si>
  <si>
    <t>data('HOSPI2')=="1" || data('HOSPIVEZ') == '3' || data('HOSPIVEZ') == '2' || data('HOSPIVEZ') == '77'</t>
  </si>
  <si>
    <t>Sim</t>
  </si>
  <si>
    <t>Não</t>
  </si>
  <si>
    <t>Não sabe</t>
  </si>
  <si>
    <t>data('PODEAUT') == '1'</t>
  </si>
  <si>
    <t>select_one_dropdown</t>
  </si>
  <si>
    <t>reg</t>
  </si>
  <si>
    <t>REG</t>
  </si>
  <si>
    <t>Região</t>
  </si>
  <si>
    <t>Region</t>
  </si>
  <si>
    <t>TABNOME</t>
  </si>
  <si>
    <t>Tabanca</t>
  </si>
  <si>
    <t>MORNOME</t>
  </si>
  <si>
    <t>Measles</t>
  </si>
  <si>
    <t>Amarelo</t>
  </si>
  <si>
    <t>Yellow fever</t>
  </si>
  <si>
    <t>Ou</t>
  </si>
  <si>
    <t>Other</t>
  </si>
  <si>
    <t>Date of call</t>
  </si>
  <si>
    <t>Assistant</t>
  </si>
  <si>
    <t>Is the child still alive?</t>
  </si>
  <si>
    <t>Has the child received other vaccines since being vaccinated at Simão Mendes?</t>
  </si>
  <si>
    <t>What vaccines?</t>
  </si>
  <si>
    <t>Other Vaccine</t>
  </si>
  <si>
    <t>How many times?</t>
  </si>
  <si>
    <t>Cause of first admission</t>
  </si>
  <si>
    <t>Length of first internment in days</t>
  </si>
  <si>
    <t>Has the child been hospitalized more than once?</t>
  </si>
  <si>
    <t>Has the child been admitted to hospital more than twice?</t>
  </si>
  <si>
    <t>We can visit you to ask more questions about your child's death.</t>
  </si>
  <si>
    <t>constraint</t>
  </si>
  <si>
    <t>display.constraint_message.text.english</t>
  </si>
  <si>
    <t>display.constraint_message.text</t>
  </si>
  <si>
    <t>display.hint.text.english</t>
  </si>
  <si>
    <t>display.hint.text</t>
  </si>
  <si>
    <t>If you cannot get information on the first call, call each number three times</t>
  </si>
  <si>
    <t>START</t>
  </si>
  <si>
    <t>now()</t>
  </si>
  <si>
    <t>Informant</t>
  </si>
  <si>
    <t>Data do falecimento</t>
  </si>
  <si>
    <t>Date of death</t>
  </si>
  <si>
    <t>Age year(s)</t>
  </si>
  <si>
    <t>Data do primeiro internamento</t>
  </si>
  <si>
    <t>Date of first admission</t>
  </si>
  <si>
    <t>Location of first admission</t>
  </si>
  <si>
    <t>reg_csv</t>
  </si>
  <si>
    <t>hc_csv</t>
  </si>
  <si>
    <t>Health center / hospital: &lt;b&gt;{{data.HOSPCODE1}}&lt;/b&gt;</t>
  </si>
  <si>
    <t>Centro de saúde / hospital: &lt;b&gt;{{data.HOSPCODE1}}&lt;/b&gt;</t>
  </si>
  <si>
    <t>reghosp1</t>
  </si>
  <si>
    <t>Region: &lt;b&gt;{{data.reghosp1}}&lt;/b&gt;</t>
  </si>
  <si>
    <t>Região: &lt;b&gt;{{data.reghosp1}}&lt;/b&gt;</t>
  </si>
  <si>
    <t>hospcode1ns</t>
  </si>
  <si>
    <t>data('hospcode1ns') != null</t>
  </si>
  <si>
    <t>data('hospcode1ns')</t>
  </si>
  <si>
    <t>choice_filter</t>
  </si>
  <si>
    <t>choice_item.reg === data('reghosp1')</t>
  </si>
  <si>
    <t>dontknowhosp</t>
  </si>
  <si>
    <t>Other place</t>
  </si>
  <si>
    <t>Outro lugar</t>
  </si>
  <si>
    <t>query_name</t>
  </si>
  <si>
    <t>query_type</t>
  </si>
  <si>
    <t>uri</t>
  </si>
  <si>
    <t>callback</t>
  </si>
  <si>
    <t>csv</t>
  </si>
  <si>
    <t>"HEALTHCENTRES.csv"</t>
  </si>
  <si>
    <t>_.chain(context)
.uniq(function(x) {
return x.reg
})
.map(function(place){
return {
data_value:place.reg,
display:{title: {text: place.regname} } };
}).value()</t>
  </si>
  <si>
    <t>_.map(context, function(place){place.data_value = place.cscode;
place.display = {title: {text: place.csname} };
return place;
})</t>
  </si>
  <si>
    <t>Date of second admission</t>
  </si>
  <si>
    <t>Location of second admission</t>
  </si>
  <si>
    <t>reghosp2</t>
  </si>
  <si>
    <t>Region: &lt;b&gt;{{data.reghosp2}}&lt;/b&gt;</t>
  </si>
  <si>
    <t>Região: &lt;b&gt;{{data.reghosp2}}&lt;/b&gt;</t>
  </si>
  <si>
    <t>Health center / hospital: &lt;b&gt;{{data.HOSPCODE2}}&lt;/b&gt;</t>
  </si>
  <si>
    <t>Centro de saúde / hospital: &lt;b&gt;{{data.HOSPCODE2}}&lt;/b&gt;</t>
  </si>
  <si>
    <t>hospcode2ns</t>
  </si>
  <si>
    <t>data('hospcode2ns') != null</t>
  </si>
  <si>
    <t>data('hospcode2ns')</t>
  </si>
  <si>
    <t>choice_item.reg === data('reghosp2')</t>
  </si>
  <si>
    <t>Causa do primeiro internamento</t>
  </si>
  <si>
    <t>Causa do segundo internamento</t>
  </si>
  <si>
    <t>Local do segundo internamento</t>
  </si>
  <si>
    <t>Data do segundo internamento</t>
  </si>
  <si>
    <t>Duração do primeiro internamento em dias</t>
  </si>
  <si>
    <t>Length of second admission in days</t>
  </si>
  <si>
    <t>Duração do segundo internamento em dias</t>
  </si>
  <si>
    <t>reghosp3</t>
  </si>
  <si>
    <t>Region: &lt;b&gt;{{data.reghosp3}}&lt;/b&gt;</t>
  </si>
  <si>
    <t>Região: &lt;b&gt;{{data.reghosp3}}&lt;/b&gt;</t>
  </si>
  <si>
    <t>Health center / hospital: &lt;b&gt;{{data.HOSPCODE3}}&lt;/b&gt;</t>
  </si>
  <si>
    <t>Centro de saúde / hospital: &lt;b&gt;{{data.HOSPCODE3}}&lt;/b&gt;</t>
  </si>
  <si>
    <t>choice_item.reg === data('reghosp3')</t>
  </si>
  <si>
    <t>hospcode3ns</t>
  </si>
  <si>
    <t>data('hospcode3ns') != null</t>
  </si>
  <si>
    <t>data('hospcode3ns')</t>
  </si>
  <si>
    <t>Data do terceiro internamento</t>
  </si>
  <si>
    <t>Causa do terceiro internamento</t>
  </si>
  <si>
    <t>Duração do terceiro internamento em dias</t>
  </si>
  <si>
    <t>Cause of third admission</t>
  </si>
  <si>
    <t>Length of third internment in days</t>
  </si>
  <si>
    <t>Date of third admission</t>
  </si>
  <si>
    <t>Location of third admission</t>
  </si>
  <si>
    <t>Yes</t>
  </si>
  <si>
    <t>No</t>
  </si>
  <si>
    <t>No network</t>
  </si>
  <si>
    <t>Incorrect Number</t>
  </si>
  <si>
    <t>Doesn't answer the phone</t>
  </si>
  <si>
    <t>Follow up possible</t>
  </si>
  <si>
    <t>Mais de 3 vezes</t>
  </si>
  <si>
    <t>Name of morança</t>
  </si>
  <si>
    <t>Nome da morança</t>
  </si>
  <si>
    <t>Oio</t>
  </si>
  <si>
    <t>Biombo</t>
  </si>
  <si>
    <t>Gabu</t>
  </si>
  <si>
    <t>Cacheu</t>
  </si>
  <si>
    <t>Bafata</t>
  </si>
  <si>
    <t>Quinara</t>
  </si>
  <si>
    <t>Tombali</t>
  </si>
  <si>
    <t>Bolama</t>
  </si>
  <si>
    <t>The date cannot be in the future:</t>
  </si>
  <si>
    <t>A data não pode estar no futuro:</t>
  </si>
  <si>
    <t>data('IDADEMES')&lt;13 || data('DOB')!="D:NS,M:NS,Y:NS"</t>
  </si>
  <si>
    <t>Must be less than 13:</t>
  </si>
  <si>
    <t>Deve ser menor que 13:</t>
  </si>
  <si>
    <t>TELEMOVEL1</t>
  </si>
  <si>
    <t>TELEMOVEL2</t>
  </si>
  <si>
    <t>TELEMOVEL3</t>
  </si>
  <si>
    <t>CHAMADA11</t>
  </si>
  <si>
    <t>CHAMADA21</t>
  </si>
  <si>
    <t>CHAMADA13</t>
  </si>
  <si>
    <t>CHAMADA12</t>
  </si>
  <si>
    <t>CHAMADA31</t>
  </si>
  <si>
    <t>ASSISTENTE1</t>
  </si>
  <si>
    <t>DATSEGUI1</t>
  </si>
  <si>
    <t>DATSEGUI3</t>
  </si>
  <si>
    <t>ASSISTENTE3</t>
  </si>
  <si>
    <t>CHAMADA23</t>
  </si>
  <si>
    <t>CHAMADA33</t>
  </si>
  <si>
    <t>DATSEGUI2</t>
  </si>
  <si>
    <t>ASSISTENTE2</t>
  </si>
  <si>
    <t>CHAMADA22</t>
  </si>
  <si>
    <t>CHAMADA32</t>
  </si>
  <si>
    <t>data('CHAMADA13') != '1'</t>
  </si>
  <si>
    <t>data('CHAMADA23') != '1'</t>
  </si>
  <si>
    <t>data('CHAMADA12') != '1'</t>
  </si>
  <si>
    <t>data('CHAMADA22') != '1'</t>
  </si>
  <si>
    <t>data('CHAMADA11') != '1'</t>
  </si>
  <si>
    <t>data('CHAMADA21') != '1'</t>
  </si>
  <si>
    <t>data('CHAMADA11') == '1' || data('CHAMADA21') == '1' || data('CHAMADA31') == '1' || data('CHAMADA12') == '1' || data('CHAMADA22') == '1' || data('CHAMADA32') == '1' ||data('CHAMADA13') == '1' || data('CHAMADA23') == '1' || data('CHAMADA33') == '1'</t>
  </si>
  <si>
    <t>call</t>
  </si>
  <si>
    <t>FU</t>
  </si>
  <si>
    <t>FOLLOWUP</t>
  </si>
  <si>
    <t>tableApp</t>
  </si>
  <si>
    <t>DATINC</t>
  </si>
  <si>
    <t>NOMECRI</t>
  </si>
  <si>
    <t>NUMEST</t>
  </si>
  <si>
    <t>SEX</t>
  </si>
  <si>
    <t>do section FU</t>
  </si>
  <si>
    <t>1st try</t>
  </si>
  <si>
    <t>3rd try</t>
  </si>
  <si>
    <t>2nd try</t>
  </si>
  <si>
    <t>MADtrial - Follow-up Phone</t>
  </si>
  <si>
    <t>IDINC</t>
  </si>
  <si>
    <t>IDADEANO</t>
  </si>
  <si>
    <t>IDADEMES</t>
  </si>
  <si>
    <t>data('CHAMADA11') == '4'</t>
  </si>
  <si>
    <t>&lt;font color = "red"&gt;As chamadas anteriores informaram que este número está incorreto &lt;/font&gt;</t>
  </si>
  <si>
    <t>&lt;font color = "red"&gt;Previous calls said this number is incorrect &lt;/font&gt;</t>
  </si>
  <si>
    <t>data('CHAMADA21') == '4'</t>
  </si>
  <si>
    <t>data('CHAMADA31') == '4'</t>
  </si>
  <si>
    <t>data('CHAMADA11') == '4' || data('CHAMADA12') == '4'</t>
  </si>
  <si>
    <t>data('CHAMADA31') == '4' || data('CHAMADA32') == '4'</t>
  </si>
  <si>
    <t>data('CHAMADA21') == '4' || data('CHAMADA22') == '4'</t>
  </si>
  <si>
    <t>data('chamada1') == '4'</t>
  </si>
  <si>
    <t>data('chamada2') == '4'</t>
  </si>
  <si>
    <t>data('chamada3') == '4'</t>
  </si>
  <si>
    <t>chamada3</t>
  </si>
  <si>
    <t>chamada1</t>
  </si>
  <si>
    <t>chamada2</t>
  </si>
  <si>
    <t>VPI</t>
  </si>
  <si>
    <t>Name: &lt;b&gt;{{data.NOMECRI}}&lt;/b&gt;</t>
  </si>
  <si>
    <t>Nome: &lt;b&gt;{{data.NOMECRI}}&lt;/b&gt;</t>
  </si>
  <si>
    <t>data('DOB') == 'D:NS,M:NS,Y:NS'</t>
  </si>
  <si>
    <t>else</t>
  </si>
  <si>
    <t>Birthdate: &lt;b&gt;{{calculates.displayDOB}}&lt;/b&gt;</t>
  </si>
  <si>
    <t>Data de nascimento: &lt;b&gt;{{calculates.displayDOB}}&lt;/b&gt;</t>
  </si>
  <si>
    <t>Age: &lt;b&gt;{{data.IDADEANO}}&lt;/b&gt; year(s), &lt;b&gt;{{data.IDADEMES}}&lt;/b&gt; month(s)</t>
  </si>
  <si>
    <t xml:space="preserve">Idade: &lt;b&gt;{{data.IDADEANO}}&lt;/b&gt; ano(s), &lt;b&gt;{{data.IDADEMES}}&lt;/b&gt; mes(es) </t>
  </si>
  <si>
    <t>data('SEX') =='1'</t>
  </si>
  <si>
    <t>Sex: &lt;b&gt;Male&lt;/b&gt;</t>
  </si>
  <si>
    <t>Sexo: &lt;b&gt;Masculino&lt;/b&gt;</t>
  </si>
  <si>
    <t>Sex: &lt;b&gt;Female&lt;/b&gt;</t>
  </si>
  <si>
    <t>Sexo: &lt;b&gt;Feminino&lt;/b&gt;</t>
  </si>
  <si>
    <t>Inclusão: &lt;b&gt;{{calculates.displayDATINC}}&lt;/b&gt;</t>
  </si>
  <si>
    <t>Inclusion: &lt;b&gt;{{calculates.displayDATINC}}&lt;/b&gt;</t>
  </si>
  <si>
    <t>displayDATINC</t>
  </si>
  <si>
    <t>displayDOB</t>
  </si>
  <si>
    <t>Estudo nº: &lt;b&gt;{{data.NUMEST}}&lt;/b&gt;</t>
  </si>
  <si>
    <t>adate.display(data('DOB'))</t>
  </si>
  <si>
    <t>adate.display(data('DATINC'))</t>
  </si>
  <si>
    <t>Study no.: &lt;b&gt;{{data.NUMEST}}&lt;/b&gt;</t>
  </si>
  <si>
    <t>display.adate.helperText</t>
  </si>
  <si>
    <t>SAB</t>
  </si>
  <si>
    <t>Bubaque</t>
  </si>
  <si>
    <t>Farim</t>
  </si>
  <si>
    <t>Sao Domingos</t>
  </si>
  <si>
    <t>Name of mother: &lt;b&gt;{{data.NOMEMAE}}&lt;/b&gt;</t>
  </si>
  <si>
    <t>Nome da mãe: &lt;b&gt;{{data.NOMEMAE}}&lt;/b&gt;</t>
  </si>
  <si>
    <t>NOMEMAE</t>
  </si>
  <si>
    <t>data('CHAMADA12') == null &amp;&amp; data('CHAMADA22') == null &amp;&amp; data('CHAMADA32') == null &amp;&amp; data('CHAMADA13') == null &amp;&amp; data('CHAMADA23') == null &amp;&amp; data('CHAMADA33') == null || (data('DATSEGUI3') == data('DATSEGUI1')) || (data('DATSEGUI2') == data('DATSEGUI1'))</t>
  </si>
  <si>
    <t>(data('CHAMADA12') != null || data('CHAMADA22') != null || data('CHAMADA32') != null) &amp;&amp; data('DATSEGUI2') != null</t>
  </si>
  <si>
    <t>((data('CHAMADA11') != null || data('CHAMADA21') != null || data('CHAMADA31') != null) &amp;&amp; data('CHAMADA13') == null &amp;&amp; data('CHAMADA23') == null &amp;&amp; data('CHAMADA33') == null &amp;&amp; data('DATSEGUI2') != data('DATSEGUI1')) ||  (data('DATSEGUI3') == data('DATSEGUI2') &amp;&amp; data('DATSEGUI3') != null)</t>
  </si>
  <si>
    <t>(data('CHAMADA11') != null || data('CHAMADA21') != null || data('CHAMADA31') != null) &amp;&amp; (data('CHAMADA12') != null || data('CHAMADA22') != null || data('CHAMADA32') != null)  &amp;&amp; data('DATSEGUI2') != data('DATSEGUI3') &amp;&amp; data('DATSEGUI2') != null</t>
  </si>
  <si>
    <t>(data('CHAMADA11') != null || data('CHAMADA21') != null || data('CHAMADA31') != null) &amp;&amp; data('CHAMADA13') == null &amp;&amp; data('CHAMADA23') == null &amp;&amp; data('CHAMADA33') == null &amp;&amp; data('DATSEGUI1') != null &amp;&amp; data('DATSEGUI3') == null</t>
  </si>
  <si>
    <t>data('CHAMADA11') == null &amp;&amp; data('CHAMADA21') == null &amp;&amp; data('CHAMADA31') == null &amp;&amp; data('CHAMADA12') == null &amp;&amp; data('CHAMADA22') == null &amp;&amp; data('CHAMADA32') == null &amp;&amp; data('CHAMADA13') == null &amp;&amp; data('CHAMADA23') == null &amp;&amp; data('CHAMADA33') == null</t>
  </si>
  <si>
    <t>data('DATSEGUI3')</t>
  </si>
  <si>
    <t>data('DATSEGUI2')</t>
  </si>
  <si>
    <t>data('DATSEGUI1')</t>
  </si>
  <si>
    <t>datsegui</t>
  </si>
  <si>
    <t>adate.diffInDays(data('datsegui'), data('DOD'))&lt;1 || adate.hasUncertainty(data('DOD'))</t>
  </si>
  <si>
    <t>adate.diffInDays(data('datsegui'), data('HOSPDATA1'))&lt;1 || adate.hasUncertainty(data('HOSPDATA1'))</t>
  </si>
  <si>
    <t>adate.diffInDays(data('datsegui'), data('HOSPDATA2'))&lt;1 || adate.hasUncertainty(data('HOSPDATA2'))</t>
  </si>
  <si>
    <t>adate.diffInDays(data('datsegui'), data('HOSPDATA3'))&lt;1 || adate.hasUncertainty(data('HOSPDATA3'))</t>
  </si>
  <si>
    <t>1st call - number: &lt;b&gt;{{data.TELEMOVEL1}}&lt;/b&gt;
Relation: &lt;b&gt;{{calculates.relation1}}&lt;/b&gt;</t>
  </si>
  <si>
    <t>1ª chamada - número: &lt;b&gt;{{data.TELEMOVEL1}}&lt;/b&gt; &lt;br /&gt;
Relação: &lt;b&gt;{{calculates.relationPU1}}&lt;/b&gt;</t>
  </si>
  <si>
    <t>relation1</t>
  </si>
  <si>
    <t>relationPU1</t>
  </si>
  <si>
    <t>relation2</t>
  </si>
  <si>
    <t>relationPU2</t>
  </si>
  <si>
    <t>relation3</t>
  </si>
  <si>
    <t>relationPU3</t>
  </si>
  <si>
    <t>2nd call - number: &lt;b&gt;{{data.TELEMOVEL2}}&lt;/b&gt;
Relation: &lt;b&gt;{{calculates.relation2}}&lt;/b&gt;</t>
  </si>
  <si>
    <t>2ª chamada - número: &lt;b&gt;{{data.TELEMOVEL2}}&lt;/b&gt; &lt;br /&gt;
Relação: &lt;b&gt;{{calculates.relationPU2}}&lt;/b&gt;</t>
  </si>
  <si>
    <t>3ª chamada - número: &lt;b&gt;{{data.TELEMOVEL3}}&lt;/b&gt; &lt;br /&gt;
Relação: &lt;b&gt;{{calculates.relationPU3}}&lt;/b&gt;</t>
  </si>
  <si>
    <t>3rd call - number: &lt;b&gt;{{data.TELEMOVEL3}}&lt;/b&gt;
Relation: &lt;b&gt;{{calculates.relation3}}&lt;/b&gt;</t>
  </si>
  <si>
    <t>TELEINF1</t>
  </si>
  <si>
    <t>TELEINF2</t>
  </si>
  <si>
    <t>TELEINF3</t>
  </si>
  <si>
    <t>freebase.relation(data('TELEINF1'),'EN')</t>
  </si>
  <si>
    <t>freebase.relation(data('TELEINF1'),'PU')</t>
  </si>
  <si>
    <t>freebase.relation(data('TELEINF2'),'EN')</t>
  </si>
  <si>
    <t>freebase.relation(data('TELEINF2'),'PU')</t>
  </si>
  <si>
    <t>freebase.relation(data('TELEINF3'),'EN')</t>
  </si>
  <si>
    <t>freebase.relation(data('TELEINF3'),'PU')</t>
  </si>
  <si>
    <t>data('TELEINF2') == '3'</t>
  </si>
  <si>
    <t>2nd call - number: &lt;b&gt;Don't have&lt;/b&gt;</t>
  </si>
  <si>
    <t xml:space="preserve">2ª chamada - número: &lt;b&gt;Não tem&lt;/b&gt; </t>
  </si>
  <si>
    <t>data('TELEINF3') == '3'</t>
  </si>
  <si>
    <t>3rd call - number: &lt;b&gt;Don't have&lt;/b&gt;</t>
  </si>
  <si>
    <t xml:space="preserve">3ª chamada - número: &lt;b&gt;Não tem&lt;/b&gt; </t>
  </si>
  <si>
    <t>Português</t>
  </si>
  <si>
    <t>Se você não consegue obter informação na primeira chamada, liga cada número tres vezes</t>
  </si>
  <si>
    <t>A criança ainda está viva?</t>
  </si>
  <si>
    <t>Outra vacina</t>
  </si>
  <si>
    <t>Quantas vezes?</t>
  </si>
  <si>
    <t>A criança foi internada no hospital mais do que uma vez? ##omit "no hospital" as it could theoretically also be at a health center?</t>
  </si>
  <si>
    <t>A criança foi internada no hospital mais do que duas vezes? ##omit "no hospital" as it could theoretically also be at a health center?</t>
  </si>
  <si>
    <t>Podemos visita-lo para fazer mais perguntas sobre a morte de seu filho/sua filha?</t>
  </si>
  <si>
    <t>Não atende o telemóvel</t>
  </si>
  <si>
    <t>Numero incorreto</t>
  </si>
  <si>
    <t>Febre amarela</t>
  </si>
  <si>
    <t>MADtrial - Seguimento Telemovel</t>
  </si>
  <si>
    <t>A criança recebeu outras vacinas desde que foi vacinada no costa em Simão Mendes?</t>
  </si>
  <si>
    <t>Has the child been admitted to hospital since being vaccinated against measles at Simão Mendes?</t>
  </si>
  <si>
    <t>Justiniano</t>
  </si>
  <si>
    <t>Igualdino</t>
  </si>
  <si>
    <t xml:space="preserve">Laerte </t>
  </si>
  <si>
    <t>Laerte</t>
  </si>
  <si>
    <t>Jailson</t>
  </si>
  <si>
    <t>11 - Suzete removed 16-02-2022</t>
  </si>
  <si>
    <t>Augusto da Costa</t>
  </si>
  <si>
    <t>Abrao</t>
  </si>
  <si>
    <t>1 - Eduardo removed 25-07-2025</t>
  </si>
  <si>
    <t>MENA</t>
  </si>
  <si>
    <t>MeningitisA</t>
  </si>
  <si>
    <t>MenA</t>
  </si>
  <si>
    <t>added 2025-07-25</t>
  </si>
  <si>
    <t>MCV2</t>
  </si>
  <si>
    <t>Sarampo2</t>
  </si>
  <si>
    <t>Makci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</si>
</sst>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6]General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name val="Arial"/>
    </font>
    <font>
      <sz val="11"/>
      <color indexed="64"/>
      <name val="Calibri"/>
    </font>
    <font>
      <sz val="11"/>
      <color theme="1"/>
      <name val="Calibri"/>
      <scheme val="minor"/>
    </font>
    <font>
      <b/>
      <sz val="11"/>
      <color rgb="FF404040"/>
      <name val="Calibri"/>
      <scheme val="minor"/>
    </font>
    <font>
      <u/>
      <sz val="11"/>
      <color theme="1"/>
      <name val="Calibri"/>
      <scheme val="minor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164" fontId="3" fillId="0" borderId="0"/>
    <xf numFmtId="0" fontId="4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7" fillId="0" borderId="0" xfId="0" applyFont="1"/>
    <xf numFmtId="0" fontId="0" fillId="2" borderId="0" xfId="0" applyFill="1"/>
    <xf numFmtId="0" fontId="7" fillId="2" borderId="0" xfId="0" applyFont="1" applyFill="1"/>
  </cellXfs>
  <cellStyles count="4">
    <cellStyle name="Excel Built-in Normal" xfId="2" xr:uid="{00000000-0005-0000-0000-000000000000}"/>
    <cellStyle name="Normal" xfId="0" builtinId="0"/>
    <cellStyle name="Normal 2" xfId="1" xr:uid="{00000000-0005-0000-0000-000002000000}"/>
    <cellStyle name="Normal 4" xfId="3" xr:uid="{00000000-0005-0000-0000-000003000000}"/>
  </cellStyles>
  <dxfs count="0"/>
  <tableStyles count="1" defaultTableStyle="TableStyleMedium2" defaultPivotStyle="PivotStyleLight16">
    <tableStyle name="Invisible" pivot="0" table="0" count="0" xr9:uid="{908C957F-C4C6-42D0-9062-F34BB2490A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3.26953125" bestFit="1" customWidth="1"/>
    <col min="3" max="3" width="29" bestFit="1" customWidth="1"/>
    <col min="4" max="4" width="27" bestFit="1" customWidth="1"/>
    <col min="5" max="5" width="24.7265625" bestFit="1" customWidth="1"/>
    <col min="6" max="6" width="28.54296875" bestFit="1" customWidth="1"/>
  </cols>
  <sheetData>
    <row r="1" spans="1:6" s="2" customFormat="1" x14ac:dyDescent="0.35">
      <c r="A1" s="2" t="s">
        <v>0</v>
      </c>
      <c r="B1" s="2" t="s">
        <v>1</v>
      </c>
      <c r="C1" s="2" t="s">
        <v>35</v>
      </c>
      <c r="D1" s="2" t="s">
        <v>14</v>
      </c>
      <c r="E1" s="2" t="s">
        <v>34</v>
      </c>
      <c r="F1" s="2" t="s">
        <v>16</v>
      </c>
    </row>
    <row r="2" spans="1:6" x14ac:dyDescent="0.35">
      <c r="A2" t="s">
        <v>2</v>
      </c>
      <c r="B2" t="s">
        <v>36</v>
      </c>
    </row>
    <row r="3" spans="1:6" x14ac:dyDescent="0.35">
      <c r="A3" t="s">
        <v>3</v>
      </c>
      <c r="B3">
        <v>20260731</v>
      </c>
    </row>
    <row r="4" spans="1:6" x14ac:dyDescent="0.35">
      <c r="A4" t="s">
        <v>4</v>
      </c>
      <c r="B4" t="s">
        <v>36</v>
      </c>
    </row>
    <row r="5" spans="1:6" x14ac:dyDescent="0.35">
      <c r="A5" t="s">
        <v>5</v>
      </c>
      <c r="B5" t="s">
        <v>36</v>
      </c>
      <c r="C5" t="s">
        <v>293</v>
      </c>
      <c r="D5" t="s">
        <v>393</v>
      </c>
    </row>
    <row r="6" spans="1:6" x14ac:dyDescent="0.35">
      <c r="A6" t="s">
        <v>20</v>
      </c>
      <c r="E6" t="s">
        <v>19</v>
      </c>
      <c r="F6" t="s">
        <v>382</v>
      </c>
    </row>
    <row r="7" spans="1:6" x14ac:dyDescent="0.35">
      <c r="A7" t="s">
        <v>33</v>
      </c>
      <c r="E7" t="s">
        <v>17</v>
      </c>
      <c r="F7" t="s">
        <v>18</v>
      </c>
    </row>
    <row r="8" spans="1:6" x14ac:dyDescent="0.35">
      <c r="A8" s="4" t="s">
        <v>23</v>
      </c>
      <c r="B8" s="4" t="s">
        <v>24</v>
      </c>
    </row>
  </sheetData>
  <sortState xmlns:xlrd2="http://schemas.microsoft.com/office/spreadsheetml/2017/richdata2" ref="G12:G24">
    <sortCondition ref="G1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4"/>
  <sheetViews>
    <sheetView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12.453125" bestFit="1" customWidth="1"/>
    <col min="2" max="2" width="12.81640625" bestFit="1" customWidth="1"/>
    <col min="3" max="3" width="44.453125" customWidth="1"/>
    <col min="4" max="4" width="22" bestFit="1" customWidth="1"/>
    <col min="5" max="5" width="10.453125" bestFit="1" customWidth="1"/>
    <col min="6" max="6" width="13.26953125" bestFit="1" customWidth="1"/>
    <col min="7" max="7" width="44" bestFit="1" customWidth="1"/>
    <col min="8" max="8" width="53.1796875" customWidth="1"/>
    <col min="9" max="9" width="13.1796875" bestFit="1" customWidth="1"/>
    <col min="10" max="10" width="69" bestFit="1" customWidth="1"/>
    <col min="11" max="11" width="82.7265625" bestFit="1" customWidth="1"/>
  </cols>
  <sheetData>
    <row r="1" spans="1:12" s="2" customFormat="1" x14ac:dyDescent="0.35">
      <c r="A1" s="2" t="s">
        <v>22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32</v>
      </c>
      <c r="H1" s="2" t="s">
        <v>11</v>
      </c>
      <c r="I1" s="2" t="s">
        <v>21</v>
      </c>
      <c r="J1" s="2" t="s">
        <v>165</v>
      </c>
      <c r="K1" s="2" t="s">
        <v>166</v>
      </c>
      <c r="L1" s="2" t="s">
        <v>333</v>
      </c>
    </row>
    <row r="2" spans="1:12" x14ac:dyDescent="0.35">
      <c r="A2" s="10" t="s">
        <v>291</v>
      </c>
      <c r="B2" t="s">
        <v>70</v>
      </c>
      <c r="C2" t="s">
        <v>342</v>
      </c>
    </row>
    <row r="3" spans="1:12" x14ac:dyDescent="0.35">
      <c r="B3" t="s">
        <v>37</v>
      </c>
    </row>
    <row r="4" spans="1:12" x14ac:dyDescent="0.35">
      <c r="D4" t="s">
        <v>95</v>
      </c>
      <c r="F4" t="s">
        <v>168</v>
      </c>
      <c r="I4" t="s">
        <v>169</v>
      </c>
    </row>
    <row r="5" spans="1:12" x14ac:dyDescent="0.35">
      <c r="D5" t="s">
        <v>97</v>
      </c>
      <c r="E5" t="s">
        <v>98</v>
      </c>
      <c r="F5" t="s">
        <v>267</v>
      </c>
      <c r="G5" t="s">
        <v>151</v>
      </c>
      <c r="H5" t="s">
        <v>40</v>
      </c>
    </row>
    <row r="6" spans="1:12" x14ac:dyDescent="0.35">
      <c r="D6" t="s">
        <v>95</v>
      </c>
      <c r="F6" t="s">
        <v>266</v>
      </c>
      <c r="I6" t="s">
        <v>96</v>
      </c>
    </row>
    <row r="7" spans="1:12" x14ac:dyDescent="0.35">
      <c r="D7" t="s">
        <v>29</v>
      </c>
      <c r="F7" t="s">
        <v>266</v>
      </c>
      <c r="G7" t="s">
        <v>150</v>
      </c>
      <c r="H7" t="s">
        <v>39</v>
      </c>
      <c r="L7" t="b">
        <v>0</v>
      </c>
    </row>
    <row r="8" spans="1:12" x14ac:dyDescent="0.35">
      <c r="B8" t="s">
        <v>38</v>
      </c>
    </row>
    <row r="9" spans="1:12" x14ac:dyDescent="0.35">
      <c r="B9" t="s">
        <v>71</v>
      </c>
    </row>
    <row r="10" spans="1:12" x14ac:dyDescent="0.35">
      <c r="A10" s="10" t="s">
        <v>292</v>
      </c>
      <c r="B10" t="s">
        <v>70</v>
      </c>
      <c r="C10" t="s">
        <v>345</v>
      </c>
    </row>
    <row r="11" spans="1:12" x14ac:dyDescent="0.35">
      <c r="B11" t="s">
        <v>37</v>
      </c>
    </row>
    <row r="12" spans="1:12" x14ac:dyDescent="0.35">
      <c r="D12" t="s">
        <v>95</v>
      </c>
      <c r="F12" t="s">
        <v>168</v>
      </c>
      <c r="I12" t="s">
        <v>169</v>
      </c>
    </row>
    <row r="13" spans="1:12" x14ac:dyDescent="0.35">
      <c r="D13" t="s">
        <v>97</v>
      </c>
      <c r="E13" t="s">
        <v>98</v>
      </c>
      <c r="F13" t="s">
        <v>271</v>
      </c>
      <c r="G13" t="s">
        <v>151</v>
      </c>
      <c r="H13" t="s">
        <v>40</v>
      </c>
    </row>
    <row r="14" spans="1:12" x14ac:dyDescent="0.35">
      <c r="D14" t="s">
        <v>95</v>
      </c>
      <c r="F14" t="s">
        <v>270</v>
      </c>
      <c r="I14" t="s">
        <v>96</v>
      </c>
    </row>
    <row r="15" spans="1:12" x14ac:dyDescent="0.35">
      <c r="D15" t="s">
        <v>29</v>
      </c>
      <c r="F15" t="s">
        <v>270</v>
      </c>
      <c r="G15" t="s">
        <v>150</v>
      </c>
      <c r="H15" t="s">
        <v>39</v>
      </c>
      <c r="L15" t="b">
        <v>0</v>
      </c>
    </row>
    <row r="16" spans="1:12" x14ac:dyDescent="0.35">
      <c r="B16" t="s">
        <v>38</v>
      </c>
    </row>
    <row r="17" spans="1:12" x14ac:dyDescent="0.35">
      <c r="B17" t="s">
        <v>71</v>
      </c>
    </row>
    <row r="18" spans="1:12" x14ac:dyDescent="0.35">
      <c r="A18" s="11" t="s">
        <v>290</v>
      </c>
      <c r="B18" t="s">
        <v>70</v>
      </c>
      <c r="C18" t="s">
        <v>346</v>
      </c>
    </row>
    <row r="19" spans="1:12" x14ac:dyDescent="0.35">
      <c r="B19" t="s">
        <v>37</v>
      </c>
    </row>
    <row r="20" spans="1:12" x14ac:dyDescent="0.35">
      <c r="D20" t="s">
        <v>95</v>
      </c>
      <c r="F20" t="s">
        <v>168</v>
      </c>
      <c r="I20" t="s">
        <v>169</v>
      </c>
    </row>
    <row r="21" spans="1:12" x14ac:dyDescent="0.35">
      <c r="D21" t="s">
        <v>97</v>
      </c>
      <c r="E21" t="s">
        <v>98</v>
      </c>
      <c r="F21" t="s">
        <v>264</v>
      </c>
      <c r="G21" t="s">
        <v>151</v>
      </c>
      <c r="H21" t="s">
        <v>40</v>
      </c>
    </row>
    <row r="22" spans="1:12" x14ac:dyDescent="0.35">
      <c r="D22" t="s">
        <v>95</v>
      </c>
      <c r="F22" t="s">
        <v>265</v>
      </c>
      <c r="I22" t="s">
        <v>96</v>
      </c>
    </row>
    <row r="23" spans="1:12" x14ac:dyDescent="0.35">
      <c r="D23" t="s">
        <v>29</v>
      </c>
      <c r="F23" t="s">
        <v>265</v>
      </c>
      <c r="G23" t="s">
        <v>150</v>
      </c>
      <c r="H23" t="s">
        <v>39</v>
      </c>
      <c r="L23" t="b">
        <v>0</v>
      </c>
    </row>
    <row r="24" spans="1:12" x14ac:dyDescent="0.35">
      <c r="B24" t="s">
        <v>38</v>
      </c>
    </row>
    <row r="25" spans="1:12" x14ac:dyDescent="0.35">
      <c r="B25" t="s">
        <v>71</v>
      </c>
    </row>
    <row r="26" spans="1:12" x14ac:dyDescent="0.35">
      <c r="A26" s="10" t="s">
        <v>291</v>
      </c>
      <c r="B26" t="s">
        <v>70</v>
      </c>
      <c r="C26" t="s">
        <v>344</v>
      </c>
    </row>
    <row r="27" spans="1:12" x14ac:dyDescent="0.35">
      <c r="B27" t="s">
        <v>37</v>
      </c>
    </row>
    <row r="28" spans="1:12" ht="30" customHeight="1" x14ac:dyDescent="0.35">
      <c r="D28" t="s">
        <v>42</v>
      </c>
      <c r="E28" t="s">
        <v>43</v>
      </c>
      <c r="F28" t="s">
        <v>261</v>
      </c>
      <c r="G28" s="4" t="s">
        <v>355</v>
      </c>
      <c r="H28" s="4" t="s">
        <v>356</v>
      </c>
      <c r="J28" t="s">
        <v>167</v>
      </c>
      <c r="K28" t="s">
        <v>383</v>
      </c>
    </row>
    <row r="29" spans="1:12" x14ac:dyDescent="0.35">
      <c r="B29" t="s">
        <v>70</v>
      </c>
      <c r="C29" t="s">
        <v>302</v>
      </c>
    </row>
    <row r="30" spans="1:12" x14ac:dyDescent="0.35">
      <c r="D30" t="s">
        <v>91</v>
      </c>
      <c r="G30" t="s">
        <v>299</v>
      </c>
      <c r="H30" t="s">
        <v>298</v>
      </c>
    </row>
    <row r="31" spans="1:12" x14ac:dyDescent="0.35">
      <c r="D31" t="s">
        <v>95</v>
      </c>
      <c r="F31" t="s">
        <v>261</v>
      </c>
      <c r="I31">
        <v>4</v>
      </c>
    </row>
    <row r="32" spans="1:12" x14ac:dyDescent="0.35">
      <c r="B32" t="s">
        <v>71</v>
      </c>
    </row>
    <row r="33" spans="2:9" x14ac:dyDescent="0.35">
      <c r="D33" t="s">
        <v>91</v>
      </c>
      <c r="G33" t="s">
        <v>312</v>
      </c>
      <c r="H33" t="s">
        <v>313</v>
      </c>
    </row>
    <row r="34" spans="2:9" x14ac:dyDescent="0.35">
      <c r="B34" t="s">
        <v>70</v>
      </c>
      <c r="C34" t="s">
        <v>320</v>
      </c>
    </row>
    <row r="35" spans="2:9" x14ac:dyDescent="0.35">
      <c r="D35" t="s">
        <v>91</v>
      </c>
      <c r="G35" t="s">
        <v>321</v>
      </c>
      <c r="H35" t="s">
        <v>322</v>
      </c>
    </row>
    <row r="36" spans="2:9" x14ac:dyDescent="0.35">
      <c r="B36" t="s">
        <v>315</v>
      </c>
    </row>
    <row r="37" spans="2:9" x14ac:dyDescent="0.35">
      <c r="D37" t="s">
        <v>91</v>
      </c>
      <c r="G37" t="s">
        <v>323</v>
      </c>
      <c r="H37" t="s">
        <v>324</v>
      </c>
    </row>
    <row r="38" spans="2:9" x14ac:dyDescent="0.35">
      <c r="B38" t="s">
        <v>71</v>
      </c>
    </row>
    <row r="39" spans="2:9" x14ac:dyDescent="0.35">
      <c r="B39" t="s">
        <v>70</v>
      </c>
      <c r="C39" t="s">
        <v>314</v>
      </c>
    </row>
    <row r="40" spans="2:9" x14ac:dyDescent="0.35">
      <c r="D40" t="s">
        <v>91</v>
      </c>
      <c r="G40" t="s">
        <v>318</v>
      </c>
      <c r="H40" t="s">
        <v>319</v>
      </c>
    </row>
    <row r="41" spans="2:9" x14ac:dyDescent="0.35">
      <c r="B41" t="s">
        <v>315</v>
      </c>
    </row>
    <row r="42" spans="2:9" x14ac:dyDescent="0.35">
      <c r="D42" t="s">
        <v>91</v>
      </c>
      <c r="G42" t="s">
        <v>316</v>
      </c>
      <c r="H42" t="s">
        <v>317</v>
      </c>
    </row>
    <row r="43" spans="2:9" x14ac:dyDescent="0.35">
      <c r="B43" t="s">
        <v>71</v>
      </c>
    </row>
    <row r="44" spans="2:9" x14ac:dyDescent="0.35">
      <c r="D44" t="s">
        <v>91</v>
      </c>
      <c r="G44" t="s">
        <v>326</v>
      </c>
      <c r="H44" t="s">
        <v>325</v>
      </c>
    </row>
    <row r="45" spans="2:9" x14ac:dyDescent="0.35">
      <c r="D45" t="s">
        <v>91</v>
      </c>
      <c r="G45" t="s">
        <v>338</v>
      </c>
      <c r="H45" t="s">
        <v>339</v>
      </c>
    </row>
    <row r="46" spans="2:9" x14ac:dyDescent="0.35">
      <c r="D46" t="s">
        <v>91</v>
      </c>
      <c r="G46" t="s">
        <v>332</v>
      </c>
      <c r="H46" t="s">
        <v>329</v>
      </c>
    </row>
    <row r="47" spans="2:9" x14ac:dyDescent="0.35">
      <c r="D47" t="s">
        <v>95</v>
      </c>
      <c r="F47" t="s">
        <v>350</v>
      </c>
      <c r="I47" t="s">
        <v>347</v>
      </c>
    </row>
    <row r="48" spans="2:9" x14ac:dyDescent="0.35">
      <c r="B48" t="s">
        <v>38</v>
      </c>
      <c r="G48" s="7"/>
    </row>
    <row r="49" spans="2:11" x14ac:dyDescent="0.35">
      <c r="B49" t="s">
        <v>70</v>
      </c>
      <c r="C49" t="s">
        <v>274</v>
      </c>
      <c r="G49" s="7"/>
    </row>
    <row r="50" spans="2:11" x14ac:dyDescent="0.35">
      <c r="B50" t="s">
        <v>37</v>
      </c>
    </row>
    <row r="51" spans="2:11" x14ac:dyDescent="0.35">
      <c r="B51" t="s">
        <v>70</v>
      </c>
      <c r="C51" t="s">
        <v>376</v>
      </c>
    </row>
    <row r="52" spans="2:11" x14ac:dyDescent="0.35">
      <c r="D52" t="s">
        <v>91</v>
      </c>
      <c r="G52" t="s">
        <v>377</v>
      </c>
      <c r="H52" t="s">
        <v>378</v>
      </c>
    </row>
    <row r="53" spans="2:11" x14ac:dyDescent="0.35">
      <c r="D53" t="s">
        <v>95</v>
      </c>
      <c r="F53" t="s">
        <v>268</v>
      </c>
      <c r="I53">
        <v>7</v>
      </c>
    </row>
    <row r="54" spans="2:11" x14ac:dyDescent="0.35">
      <c r="B54" t="s">
        <v>315</v>
      </c>
    </row>
    <row r="55" spans="2:11" ht="29" x14ac:dyDescent="0.35">
      <c r="D55" t="s">
        <v>42</v>
      </c>
      <c r="E55" t="s">
        <v>43</v>
      </c>
      <c r="F55" t="s">
        <v>268</v>
      </c>
      <c r="G55" s="4" t="s">
        <v>363</v>
      </c>
      <c r="H55" s="4" t="s">
        <v>364</v>
      </c>
      <c r="J55" t="s">
        <v>167</v>
      </c>
      <c r="K55" t="s">
        <v>383</v>
      </c>
    </row>
    <row r="56" spans="2:11" x14ac:dyDescent="0.35">
      <c r="B56" t="s">
        <v>70</v>
      </c>
      <c r="C56" t="s">
        <v>304</v>
      </c>
    </row>
    <row r="57" spans="2:11" x14ac:dyDescent="0.35">
      <c r="D57" t="s">
        <v>91</v>
      </c>
      <c r="G57" t="s">
        <v>299</v>
      </c>
      <c r="H57" t="s">
        <v>298</v>
      </c>
    </row>
    <row r="58" spans="2:11" x14ac:dyDescent="0.35">
      <c r="D58" t="s">
        <v>95</v>
      </c>
      <c r="F58" t="s">
        <v>268</v>
      </c>
      <c r="I58">
        <v>4</v>
      </c>
    </row>
    <row r="59" spans="2:11" x14ac:dyDescent="0.35">
      <c r="B59" t="s">
        <v>71</v>
      </c>
    </row>
    <row r="60" spans="2:11" x14ac:dyDescent="0.35">
      <c r="D60" t="s">
        <v>91</v>
      </c>
      <c r="G60" t="s">
        <v>312</v>
      </c>
      <c r="H60" t="s">
        <v>313</v>
      </c>
    </row>
    <row r="61" spans="2:11" x14ac:dyDescent="0.35">
      <c r="B61" t="s">
        <v>70</v>
      </c>
      <c r="C61" t="s">
        <v>320</v>
      </c>
    </row>
    <row r="62" spans="2:11" x14ac:dyDescent="0.35">
      <c r="D62" t="s">
        <v>91</v>
      </c>
      <c r="G62" t="s">
        <v>321</v>
      </c>
      <c r="H62" t="s">
        <v>322</v>
      </c>
    </row>
    <row r="63" spans="2:11" x14ac:dyDescent="0.35">
      <c r="B63" t="s">
        <v>315</v>
      </c>
    </row>
    <row r="64" spans="2:11" x14ac:dyDescent="0.35">
      <c r="D64" t="s">
        <v>91</v>
      </c>
      <c r="G64" t="s">
        <v>323</v>
      </c>
      <c r="H64" t="s">
        <v>324</v>
      </c>
    </row>
    <row r="65" spans="2:9" x14ac:dyDescent="0.35">
      <c r="B65" t="s">
        <v>71</v>
      </c>
    </row>
    <row r="66" spans="2:9" x14ac:dyDescent="0.35">
      <c r="B66" t="s">
        <v>70</v>
      </c>
      <c r="C66" t="s">
        <v>314</v>
      </c>
    </row>
    <row r="67" spans="2:9" x14ac:dyDescent="0.35">
      <c r="D67" t="s">
        <v>91</v>
      </c>
      <c r="G67" t="s">
        <v>318</v>
      </c>
      <c r="H67" t="s">
        <v>319</v>
      </c>
    </row>
    <row r="68" spans="2:9" x14ac:dyDescent="0.35">
      <c r="B68" t="s">
        <v>315</v>
      </c>
    </row>
    <row r="69" spans="2:9" x14ac:dyDescent="0.35">
      <c r="D69" t="s">
        <v>91</v>
      </c>
      <c r="G69" t="s">
        <v>316</v>
      </c>
      <c r="H69" t="s">
        <v>317</v>
      </c>
    </row>
    <row r="70" spans="2:9" x14ac:dyDescent="0.35">
      <c r="B70" t="s">
        <v>71</v>
      </c>
    </row>
    <row r="71" spans="2:9" x14ac:dyDescent="0.35">
      <c r="D71" t="s">
        <v>91</v>
      </c>
      <c r="G71" t="s">
        <v>326</v>
      </c>
      <c r="H71" t="s">
        <v>325</v>
      </c>
    </row>
    <row r="72" spans="2:9" x14ac:dyDescent="0.35">
      <c r="D72" t="s">
        <v>91</v>
      </c>
      <c r="G72" t="s">
        <v>338</v>
      </c>
      <c r="H72" t="s">
        <v>339</v>
      </c>
    </row>
    <row r="73" spans="2:9" x14ac:dyDescent="0.35">
      <c r="D73" t="s">
        <v>91</v>
      </c>
      <c r="G73" t="s">
        <v>332</v>
      </c>
      <c r="H73" t="s">
        <v>329</v>
      </c>
    </row>
    <row r="74" spans="2:9" x14ac:dyDescent="0.35">
      <c r="D74" t="s">
        <v>95</v>
      </c>
      <c r="F74" t="s">
        <v>350</v>
      </c>
      <c r="I74" t="s">
        <v>347</v>
      </c>
    </row>
    <row r="75" spans="2:9" x14ac:dyDescent="0.35">
      <c r="B75" t="s">
        <v>71</v>
      </c>
    </row>
    <row r="76" spans="2:9" x14ac:dyDescent="0.35">
      <c r="B76" t="s">
        <v>38</v>
      </c>
    </row>
    <row r="77" spans="2:9" x14ac:dyDescent="0.35">
      <c r="B77" t="s">
        <v>70</v>
      </c>
      <c r="C77" t="s">
        <v>275</v>
      </c>
    </row>
    <row r="78" spans="2:9" x14ac:dyDescent="0.35">
      <c r="B78" t="s">
        <v>37</v>
      </c>
    </row>
    <row r="79" spans="2:9" x14ac:dyDescent="0.35">
      <c r="B79" t="s">
        <v>70</v>
      </c>
      <c r="C79" t="s">
        <v>379</v>
      </c>
    </row>
    <row r="80" spans="2:9" x14ac:dyDescent="0.35">
      <c r="D80" t="s">
        <v>91</v>
      </c>
      <c r="G80" t="s">
        <v>380</v>
      </c>
      <c r="H80" t="s">
        <v>381</v>
      </c>
    </row>
    <row r="81" spans="2:11" x14ac:dyDescent="0.35">
      <c r="D81" t="s">
        <v>95</v>
      </c>
      <c r="F81" t="s">
        <v>269</v>
      </c>
      <c r="I81">
        <v>7</v>
      </c>
    </row>
    <row r="82" spans="2:11" x14ac:dyDescent="0.35">
      <c r="B82" t="s">
        <v>315</v>
      </c>
    </row>
    <row r="83" spans="2:11" ht="29" x14ac:dyDescent="0.35">
      <c r="D83" t="s">
        <v>42</v>
      </c>
      <c r="E83" t="s">
        <v>43</v>
      </c>
      <c r="F83" t="s">
        <v>269</v>
      </c>
      <c r="G83" s="4" t="s">
        <v>366</v>
      </c>
      <c r="H83" s="4" t="s">
        <v>365</v>
      </c>
      <c r="J83" t="s">
        <v>167</v>
      </c>
      <c r="K83" t="s">
        <v>383</v>
      </c>
    </row>
    <row r="84" spans="2:11" x14ac:dyDescent="0.35">
      <c r="B84" t="s">
        <v>70</v>
      </c>
      <c r="C84" t="s">
        <v>303</v>
      </c>
    </row>
    <row r="85" spans="2:11" x14ac:dyDescent="0.35">
      <c r="D85" t="s">
        <v>91</v>
      </c>
      <c r="G85" t="s">
        <v>299</v>
      </c>
      <c r="H85" t="s">
        <v>298</v>
      </c>
    </row>
    <row r="86" spans="2:11" x14ac:dyDescent="0.35">
      <c r="D86" t="s">
        <v>95</v>
      </c>
      <c r="F86" t="s">
        <v>269</v>
      </c>
      <c r="I86">
        <v>4</v>
      </c>
    </row>
    <row r="87" spans="2:11" x14ac:dyDescent="0.35">
      <c r="B87" t="s">
        <v>71</v>
      </c>
    </row>
    <row r="88" spans="2:11" x14ac:dyDescent="0.35">
      <c r="D88" t="s">
        <v>91</v>
      </c>
      <c r="G88" t="s">
        <v>312</v>
      </c>
      <c r="H88" t="s">
        <v>313</v>
      </c>
    </row>
    <row r="89" spans="2:11" x14ac:dyDescent="0.35">
      <c r="B89" t="s">
        <v>70</v>
      </c>
      <c r="C89" t="s">
        <v>320</v>
      </c>
    </row>
    <row r="90" spans="2:11" x14ac:dyDescent="0.35">
      <c r="D90" t="s">
        <v>91</v>
      </c>
      <c r="G90" t="s">
        <v>321</v>
      </c>
      <c r="H90" t="s">
        <v>322</v>
      </c>
    </row>
    <row r="91" spans="2:11" x14ac:dyDescent="0.35">
      <c r="B91" t="s">
        <v>315</v>
      </c>
    </row>
    <row r="92" spans="2:11" x14ac:dyDescent="0.35">
      <c r="D92" t="s">
        <v>91</v>
      </c>
      <c r="G92" t="s">
        <v>323</v>
      </c>
      <c r="H92" t="s">
        <v>324</v>
      </c>
    </row>
    <row r="93" spans="2:11" x14ac:dyDescent="0.35">
      <c r="B93" t="s">
        <v>71</v>
      </c>
    </row>
    <row r="94" spans="2:11" x14ac:dyDescent="0.35">
      <c r="B94" t="s">
        <v>70</v>
      </c>
      <c r="C94" t="s">
        <v>314</v>
      </c>
    </row>
    <row r="95" spans="2:11" x14ac:dyDescent="0.35">
      <c r="D95" t="s">
        <v>91</v>
      </c>
      <c r="G95" t="s">
        <v>318</v>
      </c>
      <c r="H95" t="s">
        <v>319</v>
      </c>
    </row>
    <row r="96" spans="2:11" x14ac:dyDescent="0.35">
      <c r="B96" t="s">
        <v>315</v>
      </c>
    </row>
    <row r="97" spans="1:11" x14ac:dyDescent="0.35">
      <c r="D97" t="s">
        <v>91</v>
      </c>
      <c r="G97" t="s">
        <v>316</v>
      </c>
      <c r="H97" t="s">
        <v>317</v>
      </c>
    </row>
    <row r="98" spans="1:11" x14ac:dyDescent="0.35">
      <c r="B98" t="s">
        <v>71</v>
      </c>
    </row>
    <row r="99" spans="1:11" x14ac:dyDescent="0.35">
      <c r="D99" t="s">
        <v>91</v>
      </c>
      <c r="G99" t="s">
        <v>326</v>
      </c>
      <c r="H99" t="s">
        <v>325</v>
      </c>
    </row>
    <row r="100" spans="1:11" x14ac:dyDescent="0.35">
      <c r="D100" t="s">
        <v>91</v>
      </c>
      <c r="G100" t="s">
        <v>338</v>
      </c>
      <c r="H100" t="s">
        <v>339</v>
      </c>
    </row>
    <row r="101" spans="1:11" x14ac:dyDescent="0.35">
      <c r="D101" t="s">
        <v>91</v>
      </c>
      <c r="G101" t="s">
        <v>332</v>
      </c>
      <c r="H101" t="s">
        <v>329</v>
      </c>
    </row>
    <row r="102" spans="1:11" x14ac:dyDescent="0.35">
      <c r="D102" t="s">
        <v>95</v>
      </c>
      <c r="F102" t="s">
        <v>350</v>
      </c>
      <c r="I102" t="s">
        <v>347</v>
      </c>
    </row>
    <row r="103" spans="1:11" x14ac:dyDescent="0.35">
      <c r="B103" t="s">
        <v>71</v>
      </c>
    </row>
    <row r="104" spans="1:11" x14ac:dyDescent="0.35">
      <c r="B104" t="s">
        <v>38</v>
      </c>
    </row>
    <row r="105" spans="1:11" x14ac:dyDescent="0.35">
      <c r="B105" t="s">
        <v>71</v>
      </c>
    </row>
    <row r="106" spans="1:11" x14ac:dyDescent="0.35">
      <c r="B106" t="s">
        <v>71</v>
      </c>
    </row>
    <row r="107" spans="1:11" x14ac:dyDescent="0.35">
      <c r="B107" t="s">
        <v>71</v>
      </c>
    </row>
    <row r="108" spans="1:11" x14ac:dyDescent="0.35">
      <c r="A108" s="10" t="s">
        <v>292</v>
      </c>
      <c r="B108" t="s">
        <v>70</v>
      </c>
      <c r="C108" t="s">
        <v>343</v>
      </c>
    </row>
    <row r="109" spans="1:11" x14ac:dyDescent="0.35">
      <c r="B109" t="s">
        <v>37</v>
      </c>
    </row>
    <row r="110" spans="1:11" ht="29" x14ac:dyDescent="0.35">
      <c r="D110" t="s">
        <v>42</v>
      </c>
      <c r="E110" t="s">
        <v>43</v>
      </c>
      <c r="F110" t="s">
        <v>262</v>
      </c>
      <c r="G110" s="4" t="s">
        <v>355</v>
      </c>
      <c r="H110" s="4" t="s">
        <v>356</v>
      </c>
      <c r="J110" t="s">
        <v>167</v>
      </c>
      <c r="K110" t="s">
        <v>383</v>
      </c>
    </row>
    <row r="111" spans="1:11" x14ac:dyDescent="0.35">
      <c r="B111" t="s">
        <v>70</v>
      </c>
      <c r="C111" t="s">
        <v>297</v>
      </c>
    </row>
    <row r="112" spans="1:11" x14ac:dyDescent="0.35">
      <c r="D112" t="s">
        <v>91</v>
      </c>
      <c r="G112" t="s">
        <v>299</v>
      </c>
      <c r="H112" t="s">
        <v>298</v>
      </c>
    </row>
    <row r="113" spans="2:9" x14ac:dyDescent="0.35">
      <c r="D113" t="s">
        <v>95</v>
      </c>
      <c r="F113" t="s">
        <v>262</v>
      </c>
      <c r="I113">
        <v>4</v>
      </c>
    </row>
    <row r="114" spans="2:9" x14ac:dyDescent="0.35">
      <c r="B114" t="s">
        <v>71</v>
      </c>
    </row>
    <row r="115" spans="2:9" x14ac:dyDescent="0.35">
      <c r="D115" t="s">
        <v>91</v>
      </c>
      <c r="G115" t="s">
        <v>312</v>
      </c>
      <c r="H115" t="s">
        <v>313</v>
      </c>
    </row>
    <row r="116" spans="2:9" x14ac:dyDescent="0.35">
      <c r="B116" t="s">
        <v>70</v>
      </c>
      <c r="C116" t="s">
        <v>320</v>
      </c>
    </row>
    <row r="117" spans="2:9" x14ac:dyDescent="0.35">
      <c r="D117" t="s">
        <v>91</v>
      </c>
      <c r="G117" t="s">
        <v>321</v>
      </c>
      <c r="H117" t="s">
        <v>322</v>
      </c>
    </row>
    <row r="118" spans="2:9" x14ac:dyDescent="0.35">
      <c r="B118" t="s">
        <v>315</v>
      </c>
    </row>
    <row r="119" spans="2:9" x14ac:dyDescent="0.35">
      <c r="D119" t="s">
        <v>91</v>
      </c>
      <c r="G119" t="s">
        <v>323</v>
      </c>
      <c r="H119" t="s">
        <v>324</v>
      </c>
    </row>
    <row r="120" spans="2:9" x14ac:dyDescent="0.35">
      <c r="B120" t="s">
        <v>71</v>
      </c>
    </row>
    <row r="121" spans="2:9" x14ac:dyDescent="0.35">
      <c r="B121" t="s">
        <v>70</v>
      </c>
      <c r="C121" t="s">
        <v>314</v>
      </c>
    </row>
    <row r="122" spans="2:9" x14ac:dyDescent="0.35">
      <c r="D122" t="s">
        <v>91</v>
      </c>
      <c r="G122" t="s">
        <v>318</v>
      </c>
      <c r="H122" t="s">
        <v>319</v>
      </c>
    </row>
    <row r="123" spans="2:9" x14ac:dyDescent="0.35">
      <c r="B123" t="s">
        <v>315</v>
      </c>
    </row>
    <row r="124" spans="2:9" x14ac:dyDescent="0.35">
      <c r="D124" t="s">
        <v>91</v>
      </c>
      <c r="G124" t="s">
        <v>316</v>
      </c>
      <c r="H124" t="s">
        <v>317</v>
      </c>
    </row>
    <row r="125" spans="2:9" x14ac:dyDescent="0.35">
      <c r="B125" t="s">
        <v>71</v>
      </c>
    </row>
    <row r="126" spans="2:9" x14ac:dyDescent="0.35">
      <c r="D126" t="s">
        <v>91</v>
      </c>
      <c r="G126" t="s">
        <v>326</v>
      </c>
      <c r="H126" t="s">
        <v>325</v>
      </c>
    </row>
    <row r="127" spans="2:9" x14ac:dyDescent="0.35">
      <c r="D127" t="s">
        <v>91</v>
      </c>
      <c r="G127" t="s">
        <v>338</v>
      </c>
      <c r="H127" t="s">
        <v>339</v>
      </c>
    </row>
    <row r="128" spans="2:9" x14ac:dyDescent="0.35">
      <c r="D128" t="s">
        <v>91</v>
      </c>
      <c r="G128" t="s">
        <v>332</v>
      </c>
      <c r="H128" t="s">
        <v>329</v>
      </c>
    </row>
    <row r="129" spans="2:11" x14ac:dyDescent="0.35">
      <c r="D129" t="s">
        <v>95</v>
      </c>
      <c r="F129" t="s">
        <v>350</v>
      </c>
      <c r="I129" t="s">
        <v>348</v>
      </c>
    </row>
    <row r="130" spans="2:11" x14ac:dyDescent="0.35">
      <c r="B130" t="s">
        <v>38</v>
      </c>
      <c r="G130" s="7"/>
    </row>
    <row r="131" spans="2:11" x14ac:dyDescent="0.35">
      <c r="B131" t="s">
        <v>70</v>
      </c>
      <c r="C131" t="s">
        <v>276</v>
      </c>
      <c r="G131" s="7"/>
    </row>
    <row r="132" spans="2:11" x14ac:dyDescent="0.35">
      <c r="B132" t="s">
        <v>37</v>
      </c>
    </row>
    <row r="133" spans="2:11" x14ac:dyDescent="0.35">
      <c r="B133" t="s">
        <v>70</v>
      </c>
      <c r="C133" t="s">
        <v>376</v>
      </c>
    </row>
    <row r="134" spans="2:11" x14ac:dyDescent="0.35">
      <c r="D134" t="s">
        <v>91</v>
      </c>
      <c r="G134" t="s">
        <v>377</v>
      </c>
      <c r="H134" t="s">
        <v>378</v>
      </c>
    </row>
    <row r="135" spans="2:11" x14ac:dyDescent="0.35">
      <c r="D135" t="s">
        <v>95</v>
      </c>
      <c r="F135" t="s">
        <v>272</v>
      </c>
      <c r="I135">
        <v>7</v>
      </c>
    </row>
    <row r="136" spans="2:11" x14ac:dyDescent="0.35">
      <c r="B136" t="s">
        <v>315</v>
      </c>
    </row>
    <row r="137" spans="2:11" ht="29" x14ac:dyDescent="0.35">
      <c r="D137" t="s">
        <v>42</v>
      </c>
      <c r="E137" t="s">
        <v>43</v>
      </c>
      <c r="F137" t="s">
        <v>272</v>
      </c>
      <c r="G137" s="4" t="s">
        <v>363</v>
      </c>
      <c r="H137" s="4" t="s">
        <v>364</v>
      </c>
      <c r="J137" t="s">
        <v>167</v>
      </c>
      <c r="K137" t="s">
        <v>383</v>
      </c>
    </row>
    <row r="138" spans="2:11" x14ac:dyDescent="0.35">
      <c r="B138" t="s">
        <v>70</v>
      </c>
      <c r="C138" t="s">
        <v>300</v>
      </c>
    </row>
    <row r="139" spans="2:11" x14ac:dyDescent="0.35">
      <c r="D139" t="s">
        <v>91</v>
      </c>
      <c r="G139" t="s">
        <v>299</v>
      </c>
      <c r="H139" t="s">
        <v>298</v>
      </c>
    </row>
    <row r="140" spans="2:11" x14ac:dyDescent="0.35">
      <c r="D140" t="s">
        <v>95</v>
      </c>
      <c r="F140" t="s">
        <v>272</v>
      </c>
      <c r="I140">
        <v>4</v>
      </c>
    </row>
    <row r="141" spans="2:11" x14ac:dyDescent="0.35">
      <c r="B141" t="s">
        <v>71</v>
      </c>
    </row>
    <row r="142" spans="2:11" x14ac:dyDescent="0.35">
      <c r="D142" t="s">
        <v>91</v>
      </c>
      <c r="G142" t="s">
        <v>312</v>
      </c>
      <c r="H142" t="s">
        <v>313</v>
      </c>
    </row>
    <row r="143" spans="2:11" x14ac:dyDescent="0.35">
      <c r="B143" t="s">
        <v>70</v>
      </c>
      <c r="C143" t="s">
        <v>320</v>
      </c>
    </row>
    <row r="144" spans="2:11" x14ac:dyDescent="0.35">
      <c r="D144" t="s">
        <v>91</v>
      </c>
      <c r="G144" t="s">
        <v>321</v>
      </c>
      <c r="H144" t="s">
        <v>322</v>
      </c>
    </row>
    <row r="145" spans="2:9" x14ac:dyDescent="0.35">
      <c r="B145" t="s">
        <v>315</v>
      </c>
    </row>
    <row r="146" spans="2:9" x14ac:dyDescent="0.35">
      <c r="D146" t="s">
        <v>91</v>
      </c>
      <c r="G146" t="s">
        <v>323</v>
      </c>
      <c r="H146" t="s">
        <v>324</v>
      </c>
    </row>
    <row r="147" spans="2:9" x14ac:dyDescent="0.35">
      <c r="B147" t="s">
        <v>71</v>
      </c>
    </row>
    <row r="148" spans="2:9" x14ac:dyDescent="0.35">
      <c r="B148" t="s">
        <v>70</v>
      </c>
      <c r="C148" t="s">
        <v>314</v>
      </c>
    </row>
    <row r="149" spans="2:9" x14ac:dyDescent="0.35">
      <c r="D149" t="s">
        <v>91</v>
      </c>
      <c r="G149" t="s">
        <v>318</v>
      </c>
      <c r="H149" t="s">
        <v>319</v>
      </c>
    </row>
    <row r="150" spans="2:9" x14ac:dyDescent="0.35">
      <c r="B150" t="s">
        <v>315</v>
      </c>
    </row>
    <row r="151" spans="2:9" x14ac:dyDescent="0.35">
      <c r="D151" t="s">
        <v>91</v>
      </c>
      <c r="G151" t="s">
        <v>316</v>
      </c>
      <c r="H151" t="s">
        <v>317</v>
      </c>
    </row>
    <row r="152" spans="2:9" x14ac:dyDescent="0.35">
      <c r="B152" t="s">
        <v>71</v>
      </c>
    </row>
    <row r="153" spans="2:9" x14ac:dyDescent="0.35">
      <c r="D153" t="s">
        <v>91</v>
      </c>
      <c r="G153" t="s">
        <v>326</v>
      </c>
      <c r="H153" t="s">
        <v>325</v>
      </c>
    </row>
    <row r="154" spans="2:9" x14ac:dyDescent="0.35">
      <c r="D154" t="s">
        <v>91</v>
      </c>
      <c r="G154" t="s">
        <v>338</v>
      </c>
      <c r="H154" t="s">
        <v>339</v>
      </c>
    </row>
    <row r="155" spans="2:9" x14ac:dyDescent="0.35">
      <c r="D155" t="s">
        <v>91</v>
      </c>
      <c r="G155" t="s">
        <v>332</v>
      </c>
      <c r="H155" t="s">
        <v>329</v>
      </c>
    </row>
    <row r="156" spans="2:9" x14ac:dyDescent="0.35">
      <c r="D156" t="s">
        <v>95</v>
      </c>
      <c r="F156" t="s">
        <v>350</v>
      </c>
      <c r="I156" t="s">
        <v>348</v>
      </c>
    </row>
    <row r="157" spans="2:9" x14ac:dyDescent="0.35">
      <c r="B157" t="s">
        <v>71</v>
      </c>
    </row>
    <row r="158" spans="2:9" x14ac:dyDescent="0.35">
      <c r="B158" t="s">
        <v>38</v>
      </c>
    </row>
    <row r="159" spans="2:9" x14ac:dyDescent="0.35">
      <c r="B159" t="s">
        <v>70</v>
      </c>
      <c r="C159" t="s">
        <v>277</v>
      </c>
    </row>
    <row r="160" spans="2:9" x14ac:dyDescent="0.35">
      <c r="B160" t="s">
        <v>37</v>
      </c>
    </row>
    <row r="161" spans="2:11" x14ac:dyDescent="0.35">
      <c r="B161" t="s">
        <v>70</v>
      </c>
      <c r="C161" t="s">
        <v>379</v>
      </c>
    </row>
    <row r="162" spans="2:11" x14ac:dyDescent="0.35">
      <c r="D162" t="s">
        <v>91</v>
      </c>
      <c r="G162" t="s">
        <v>380</v>
      </c>
      <c r="H162" t="s">
        <v>381</v>
      </c>
    </row>
    <row r="163" spans="2:11" x14ac:dyDescent="0.35">
      <c r="D163" t="s">
        <v>95</v>
      </c>
      <c r="F163" t="s">
        <v>273</v>
      </c>
      <c r="I163">
        <v>7</v>
      </c>
    </row>
    <row r="164" spans="2:11" x14ac:dyDescent="0.35">
      <c r="B164" t="s">
        <v>315</v>
      </c>
    </row>
    <row r="165" spans="2:11" ht="29" x14ac:dyDescent="0.35">
      <c r="D165" t="s">
        <v>42</v>
      </c>
      <c r="E165" t="s">
        <v>43</v>
      </c>
      <c r="F165" t="s">
        <v>273</v>
      </c>
      <c r="G165" s="4" t="s">
        <v>366</v>
      </c>
      <c r="H165" s="4" t="s">
        <v>365</v>
      </c>
      <c r="J165" t="s">
        <v>167</v>
      </c>
      <c r="K165" t="s">
        <v>383</v>
      </c>
    </row>
    <row r="166" spans="2:11" x14ac:dyDescent="0.35">
      <c r="B166" t="s">
        <v>70</v>
      </c>
      <c r="C166" t="s">
        <v>301</v>
      </c>
    </row>
    <row r="167" spans="2:11" x14ac:dyDescent="0.35">
      <c r="D167" t="s">
        <v>91</v>
      </c>
      <c r="G167" t="s">
        <v>299</v>
      </c>
      <c r="H167" t="s">
        <v>298</v>
      </c>
    </row>
    <row r="168" spans="2:11" x14ac:dyDescent="0.35">
      <c r="D168" t="s">
        <v>95</v>
      </c>
      <c r="F168" t="s">
        <v>273</v>
      </c>
      <c r="I168">
        <v>4</v>
      </c>
    </row>
    <row r="169" spans="2:11" x14ac:dyDescent="0.35">
      <c r="B169" t="s">
        <v>71</v>
      </c>
    </row>
    <row r="170" spans="2:11" x14ac:dyDescent="0.35">
      <c r="D170" t="s">
        <v>91</v>
      </c>
      <c r="G170" t="s">
        <v>312</v>
      </c>
      <c r="H170" t="s">
        <v>313</v>
      </c>
    </row>
    <row r="171" spans="2:11" x14ac:dyDescent="0.35">
      <c r="B171" t="s">
        <v>70</v>
      </c>
      <c r="C171" t="s">
        <v>320</v>
      </c>
    </row>
    <row r="172" spans="2:11" x14ac:dyDescent="0.35">
      <c r="D172" t="s">
        <v>91</v>
      </c>
      <c r="G172" t="s">
        <v>321</v>
      </c>
      <c r="H172" t="s">
        <v>322</v>
      </c>
    </row>
    <row r="173" spans="2:11" x14ac:dyDescent="0.35">
      <c r="B173" t="s">
        <v>315</v>
      </c>
    </row>
    <row r="174" spans="2:11" x14ac:dyDescent="0.35">
      <c r="D174" t="s">
        <v>91</v>
      </c>
      <c r="G174" t="s">
        <v>323</v>
      </c>
      <c r="H174" t="s">
        <v>324</v>
      </c>
    </row>
    <row r="175" spans="2:11" x14ac:dyDescent="0.35">
      <c r="B175" t="s">
        <v>71</v>
      </c>
    </row>
    <row r="176" spans="2:11" x14ac:dyDescent="0.35">
      <c r="B176" t="s">
        <v>70</v>
      </c>
      <c r="C176" t="s">
        <v>314</v>
      </c>
    </row>
    <row r="177" spans="1:11" x14ac:dyDescent="0.35">
      <c r="D177" t="s">
        <v>91</v>
      </c>
      <c r="G177" t="s">
        <v>318</v>
      </c>
      <c r="H177" t="s">
        <v>319</v>
      </c>
    </row>
    <row r="178" spans="1:11" x14ac:dyDescent="0.35">
      <c r="B178" t="s">
        <v>315</v>
      </c>
    </row>
    <row r="179" spans="1:11" x14ac:dyDescent="0.35">
      <c r="D179" t="s">
        <v>91</v>
      </c>
      <c r="G179" t="s">
        <v>316</v>
      </c>
      <c r="H179" t="s">
        <v>317</v>
      </c>
    </row>
    <row r="180" spans="1:11" x14ac:dyDescent="0.35">
      <c r="B180" t="s">
        <v>71</v>
      </c>
    </row>
    <row r="181" spans="1:11" x14ac:dyDescent="0.35">
      <c r="D181" t="s">
        <v>91</v>
      </c>
      <c r="G181" t="s">
        <v>326</v>
      </c>
      <c r="H181" t="s">
        <v>325</v>
      </c>
    </row>
    <row r="182" spans="1:11" x14ac:dyDescent="0.35">
      <c r="D182" t="s">
        <v>91</v>
      </c>
      <c r="G182" t="s">
        <v>338</v>
      </c>
      <c r="H182" t="s">
        <v>339</v>
      </c>
    </row>
    <row r="183" spans="1:11" x14ac:dyDescent="0.35">
      <c r="D183" t="s">
        <v>91</v>
      </c>
      <c r="G183" t="s">
        <v>332</v>
      </c>
      <c r="H183" t="s">
        <v>329</v>
      </c>
    </row>
    <row r="184" spans="1:11" x14ac:dyDescent="0.35">
      <c r="D184" t="s">
        <v>95</v>
      </c>
      <c r="F184" t="s">
        <v>350</v>
      </c>
      <c r="I184" t="s">
        <v>348</v>
      </c>
    </row>
    <row r="185" spans="1:11" x14ac:dyDescent="0.35">
      <c r="B185" t="s">
        <v>71</v>
      </c>
    </row>
    <row r="186" spans="1:11" x14ac:dyDescent="0.35">
      <c r="B186" t="s">
        <v>38</v>
      </c>
    </row>
    <row r="187" spans="1:11" x14ac:dyDescent="0.35">
      <c r="B187" t="s">
        <v>71</v>
      </c>
    </row>
    <row r="188" spans="1:11" x14ac:dyDescent="0.35">
      <c r="B188" t="s">
        <v>71</v>
      </c>
    </row>
    <row r="189" spans="1:11" x14ac:dyDescent="0.35">
      <c r="B189" t="s">
        <v>71</v>
      </c>
    </row>
    <row r="190" spans="1:11" x14ac:dyDescent="0.35">
      <c r="A190" s="11" t="s">
        <v>290</v>
      </c>
      <c r="B190" t="s">
        <v>70</v>
      </c>
      <c r="C190" t="s">
        <v>341</v>
      </c>
    </row>
    <row r="191" spans="1:11" x14ac:dyDescent="0.35">
      <c r="B191" t="s">
        <v>37</v>
      </c>
    </row>
    <row r="192" spans="1:11" ht="29" x14ac:dyDescent="0.35">
      <c r="D192" t="s">
        <v>42</v>
      </c>
      <c r="E192" t="s">
        <v>43</v>
      </c>
      <c r="F192" t="s">
        <v>259</v>
      </c>
      <c r="G192" s="4" t="s">
        <v>355</v>
      </c>
      <c r="H192" s="4" t="s">
        <v>356</v>
      </c>
      <c r="J192" t="s">
        <v>167</v>
      </c>
      <c r="K192" t="s">
        <v>383</v>
      </c>
    </row>
    <row r="193" spans="2:9" x14ac:dyDescent="0.35">
      <c r="B193" t="s">
        <v>70</v>
      </c>
      <c r="C193" t="s">
        <v>305</v>
      </c>
    </row>
    <row r="194" spans="2:9" x14ac:dyDescent="0.35">
      <c r="D194" t="s">
        <v>91</v>
      </c>
      <c r="G194" t="s">
        <v>299</v>
      </c>
      <c r="H194" t="s">
        <v>298</v>
      </c>
    </row>
    <row r="195" spans="2:9" x14ac:dyDescent="0.35">
      <c r="D195" t="s">
        <v>95</v>
      </c>
      <c r="F195" t="s">
        <v>259</v>
      </c>
      <c r="I195">
        <v>4</v>
      </c>
    </row>
    <row r="196" spans="2:9" x14ac:dyDescent="0.35">
      <c r="B196" t="s">
        <v>71</v>
      </c>
    </row>
    <row r="197" spans="2:9" x14ac:dyDescent="0.35">
      <c r="D197" t="s">
        <v>91</v>
      </c>
      <c r="G197" t="s">
        <v>312</v>
      </c>
      <c r="H197" t="s">
        <v>313</v>
      </c>
    </row>
    <row r="198" spans="2:9" x14ac:dyDescent="0.35">
      <c r="B198" t="s">
        <v>70</v>
      </c>
      <c r="C198" t="s">
        <v>320</v>
      </c>
    </row>
    <row r="199" spans="2:9" x14ac:dyDescent="0.35">
      <c r="D199" t="s">
        <v>91</v>
      </c>
      <c r="G199" t="s">
        <v>321</v>
      </c>
      <c r="H199" t="s">
        <v>322</v>
      </c>
    </row>
    <row r="200" spans="2:9" x14ac:dyDescent="0.35">
      <c r="B200" t="s">
        <v>315</v>
      </c>
    </row>
    <row r="201" spans="2:9" x14ac:dyDescent="0.35">
      <c r="D201" t="s">
        <v>91</v>
      </c>
      <c r="G201" t="s">
        <v>323</v>
      </c>
      <c r="H201" t="s">
        <v>324</v>
      </c>
    </row>
    <row r="202" spans="2:9" x14ac:dyDescent="0.35">
      <c r="B202" t="s">
        <v>71</v>
      </c>
    </row>
    <row r="203" spans="2:9" x14ac:dyDescent="0.35">
      <c r="B203" t="s">
        <v>70</v>
      </c>
      <c r="C203" t="s">
        <v>314</v>
      </c>
    </row>
    <row r="204" spans="2:9" x14ac:dyDescent="0.35">
      <c r="D204" t="s">
        <v>91</v>
      </c>
      <c r="G204" t="s">
        <v>318</v>
      </c>
      <c r="H204" t="s">
        <v>319</v>
      </c>
    </row>
    <row r="205" spans="2:9" x14ac:dyDescent="0.35">
      <c r="B205" t="s">
        <v>315</v>
      </c>
    </row>
    <row r="206" spans="2:9" x14ac:dyDescent="0.35">
      <c r="D206" t="s">
        <v>91</v>
      </c>
      <c r="G206" t="s">
        <v>316</v>
      </c>
      <c r="H206" t="s">
        <v>317</v>
      </c>
    </row>
    <row r="207" spans="2:9" x14ac:dyDescent="0.35">
      <c r="B207" t="s">
        <v>71</v>
      </c>
    </row>
    <row r="208" spans="2:9" x14ac:dyDescent="0.35">
      <c r="D208" t="s">
        <v>91</v>
      </c>
      <c r="G208" t="s">
        <v>326</v>
      </c>
      <c r="H208" t="s">
        <v>325</v>
      </c>
    </row>
    <row r="209" spans="2:11" x14ac:dyDescent="0.35">
      <c r="D209" t="s">
        <v>91</v>
      </c>
      <c r="G209" t="s">
        <v>338</v>
      </c>
      <c r="H209" t="s">
        <v>339</v>
      </c>
    </row>
    <row r="210" spans="2:11" x14ac:dyDescent="0.35">
      <c r="D210" t="s">
        <v>91</v>
      </c>
      <c r="G210" t="s">
        <v>332</v>
      </c>
      <c r="H210" t="s">
        <v>329</v>
      </c>
    </row>
    <row r="211" spans="2:11" x14ac:dyDescent="0.35">
      <c r="D211" t="s">
        <v>95</v>
      </c>
      <c r="F211" t="s">
        <v>350</v>
      </c>
      <c r="I211" t="s">
        <v>349</v>
      </c>
    </row>
    <row r="212" spans="2:11" x14ac:dyDescent="0.35">
      <c r="B212" t="s">
        <v>38</v>
      </c>
      <c r="G212" s="7"/>
    </row>
    <row r="213" spans="2:11" x14ac:dyDescent="0.35">
      <c r="B213" t="s">
        <v>70</v>
      </c>
      <c r="C213" t="s">
        <v>278</v>
      </c>
      <c r="G213" s="7"/>
    </row>
    <row r="214" spans="2:11" x14ac:dyDescent="0.35">
      <c r="B214" t="s">
        <v>37</v>
      </c>
    </row>
    <row r="215" spans="2:11" x14ac:dyDescent="0.35">
      <c r="B215" t="s">
        <v>70</v>
      </c>
      <c r="C215" t="s">
        <v>376</v>
      </c>
    </row>
    <row r="216" spans="2:11" x14ac:dyDescent="0.35">
      <c r="D216" t="s">
        <v>91</v>
      </c>
      <c r="G216" t="s">
        <v>377</v>
      </c>
      <c r="H216" t="s">
        <v>378</v>
      </c>
    </row>
    <row r="217" spans="2:11" x14ac:dyDescent="0.35">
      <c r="D217" t="s">
        <v>95</v>
      </c>
      <c r="F217" t="s">
        <v>260</v>
      </c>
      <c r="I217">
        <v>7</v>
      </c>
    </row>
    <row r="218" spans="2:11" x14ac:dyDescent="0.35">
      <c r="B218" t="s">
        <v>315</v>
      </c>
    </row>
    <row r="219" spans="2:11" ht="29" x14ac:dyDescent="0.35">
      <c r="D219" t="s">
        <v>42</v>
      </c>
      <c r="E219" t="s">
        <v>43</v>
      </c>
      <c r="F219" t="s">
        <v>260</v>
      </c>
      <c r="G219" s="4" t="s">
        <v>363</v>
      </c>
      <c r="H219" s="4" t="s">
        <v>364</v>
      </c>
      <c r="J219" t="s">
        <v>167</v>
      </c>
      <c r="K219" t="s">
        <v>383</v>
      </c>
    </row>
    <row r="220" spans="2:11" x14ac:dyDescent="0.35">
      <c r="B220" t="s">
        <v>70</v>
      </c>
      <c r="C220" t="s">
        <v>306</v>
      </c>
    </row>
    <row r="221" spans="2:11" x14ac:dyDescent="0.35">
      <c r="D221" t="s">
        <v>91</v>
      </c>
      <c r="G221" t="s">
        <v>299</v>
      </c>
      <c r="H221" t="s">
        <v>298</v>
      </c>
    </row>
    <row r="222" spans="2:11" x14ac:dyDescent="0.35">
      <c r="D222" t="s">
        <v>95</v>
      </c>
      <c r="F222" t="s">
        <v>260</v>
      </c>
      <c r="I222">
        <v>4</v>
      </c>
    </row>
    <row r="223" spans="2:11" x14ac:dyDescent="0.35">
      <c r="B223" t="s">
        <v>71</v>
      </c>
    </row>
    <row r="224" spans="2:11" x14ac:dyDescent="0.35">
      <c r="D224" t="s">
        <v>91</v>
      </c>
      <c r="G224" t="s">
        <v>312</v>
      </c>
      <c r="H224" t="s">
        <v>313</v>
      </c>
    </row>
    <row r="225" spans="2:9" x14ac:dyDescent="0.35">
      <c r="B225" t="s">
        <v>70</v>
      </c>
      <c r="C225" t="s">
        <v>320</v>
      </c>
    </row>
    <row r="226" spans="2:9" x14ac:dyDescent="0.35">
      <c r="D226" t="s">
        <v>91</v>
      </c>
      <c r="G226" t="s">
        <v>321</v>
      </c>
      <c r="H226" t="s">
        <v>322</v>
      </c>
    </row>
    <row r="227" spans="2:9" x14ac:dyDescent="0.35">
      <c r="B227" t="s">
        <v>315</v>
      </c>
    </row>
    <row r="228" spans="2:9" x14ac:dyDescent="0.35">
      <c r="D228" t="s">
        <v>91</v>
      </c>
      <c r="G228" t="s">
        <v>323</v>
      </c>
      <c r="H228" t="s">
        <v>324</v>
      </c>
    </row>
    <row r="229" spans="2:9" x14ac:dyDescent="0.35">
      <c r="B229" t="s">
        <v>71</v>
      </c>
    </row>
    <row r="230" spans="2:9" x14ac:dyDescent="0.35">
      <c r="B230" t="s">
        <v>70</v>
      </c>
      <c r="C230" t="s">
        <v>314</v>
      </c>
    </row>
    <row r="231" spans="2:9" x14ac:dyDescent="0.35">
      <c r="D231" t="s">
        <v>91</v>
      </c>
      <c r="G231" t="s">
        <v>318</v>
      </c>
      <c r="H231" t="s">
        <v>319</v>
      </c>
    </row>
    <row r="232" spans="2:9" x14ac:dyDescent="0.35">
      <c r="B232" t="s">
        <v>315</v>
      </c>
    </row>
    <row r="233" spans="2:9" x14ac:dyDescent="0.35">
      <c r="D233" t="s">
        <v>91</v>
      </c>
      <c r="G233" t="s">
        <v>316</v>
      </c>
      <c r="H233" t="s">
        <v>317</v>
      </c>
    </row>
    <row r="234" spans="2:9" x14ac:dyDescent="0.35">
      <c r="B234" t="s">
        <v>71</v>
      </c>
    </row>
    <row r="235" spans="2:9" x14ac:dyDescent="0.35">
      <c r="D235" t="s">
        <v>91</v>
      </c>
      <c r="G235" t="s">
        <v>326</v>
      </c>
      <c r="H235" t="s">
        <v>325</v>
      </c>
    </row>
    <row r="236" spans="2:9" x14ac:dyDescent="0.35">
      <c r="D236" t="s">
        <v>91</v>
      </c>
      <c r="G236" t="s">
        <v>338</v>
      </c>
      <c r="H236" t="s">
        <v>339</v>
      </c>
    </row>
    <row r="237" spans="2:9" x14ac:dyDescent="0.35">
      <c r="D237" t="s">
        <v>91</v>
      </c>
      <c r="G237" t="s">
        <v>332</v>
      </c>
      <c r="H237" t="s">
        <v>329</v>
      </c>
    </row>
    <row r="238" spans="2:9" x14ac:dyDescent="0.35">
      <c r="D238" t="s">
        <v>95</v>
      </c>
      <c r="F238" t="s">
        <v>350</v>
      </c>
      <c r="I238" t="s">
        <v>349</v>
      </c>
    </row>
    <row r="239" spans="2:9" x14ac:dyDescent="0.35">
      <c r="B239" t="s">
        <v>71</v>
      </c>
    </row>
    <row r="240" spans="2:9" x14ac:dyDescent="0.35">
      <c r="B240" t="s">
        <v>38</v>
      </c>
    </row>
    <row r="241" spans="2:11" x14ac:dyDescent="0.35">
      <c r="B241" t="s">
        <v>70</v>
      </c>
      <c r="C241" t="s">
        <v>279</v>
      </c>
    </row>
    <row r="242" spans="2:11" x14ac:dyDescent="0.35">
      <c r="B242" t="s">
        <v>37</v>
      </c>
    </row>
    <row r="243" spans="2:11" x14ac:dyDescent="0.35">
      <c r="B243" t="s">
        <v>70</v>
      </c>
      <c r="C243" t="s">
        <v>379</v>
      </c>
    </row>
    <row r="244" spans="2:11" x14ac:dyDescent="0.35">
      <c r="D244" t="s">
        <v>91</v>
      </c>
      <c r="G244" t="s">
        <v>380</v>
      </c>
      <c r="H244" t="s">
        <v>381</v>
      </c>
    </row>
    <row r="245" spans="2:11" x14ac:dyDescent="0.35">
      <c r="D245" t="s">
        <v>95</v>
      </c>
      <c r="F245" t="s">
        <v>263</v>
      </c>
      <c r="I245">
        <v>7</v>
      </c>
    </row>
    <row r="246" spans="2:11" x14ac:dyDescent="0.35">
      <c r="B246" t="s">
        <v>315</v>
      </c>
    </row>
    <row r="247" spans="2:11" ht="29" x14ac:dyDescent="0.35">
      <c r="D247" t="s">
        <v>42</v>
      </c>
      <c r="E247" t="s">
        <v>43</v>
      </c>
      <c r="F247" t="s">
        <v>263</v>
      </c>
      <c r="G247" s="4" t="s">
        <v>366</v>
      </c>
      <c r="H247" s="4" t="s">
        <v>365</v>
      </c>
      <c r="J247" t="s">
        <v>167</v>
      </c>
      <c r="K247" t="s">
        <v>383</v>
      </c>
    </row>
    <row r="248" spans="2:11" x14ac:dyDescent="0.35">
      <c r="B248" t="s">
        <v>70</v>
      </c>
      <c r="C248" t="s">
        <v>307</v>
      </c>
    </row>
    <row r="249" spans="2:11" x14ac:dyDescent="0.35">
      <c r="D249" t="s">
        <v>91</v>
      </c>
      <c r="G249" t="s">
        <v>299</v>
      </c>
      <c r="H249" t="s">
        <v>298</v>
      </c>
    </row>
    <row r="250" spans="2:11" x14ac:dyDescent="0.35">
      <c r="D250" t="s">
        <v>95</v>
      </c>
      <c r="F250" t="s">
        <v>263</v>
      </c>
      <c r="I250">
        <v>4</v>
      </c>
    </row>
    <row r="251" spans="2:11" x14ac:dyDescent="0.35">
      <c r="B251" t="s">
        <v>71</v>
      </c>
    </row>
    <row r="252" spans="2:11" x14ac:dyDescent="0.35">
      <c r="D252" t="s">
        <v>91</v>
      </c>
      <c r="G252" t="s">
        <v>312</v>
      </c>
      <c r="H252" t="s">
        <v>313</v>
      </c>
    </row>
    <row r="253" spans="2:11" x14ac:dyDescent="0.35">
      <c r="B253" t="s">
        <v>70</v>
      </c>
      <c r="C253" t="s">
        <v>320</v>
      </c>
    </row>
    <row r="254" spans="2:11" x14ac:dyDescent="0.35">
      <c r="D254" t="s">
        <v>91</v>
      </c>
      <c r="G254" t="s">
        <v>321</v>
      </c>
      <c r="H254" t="s">
        <v>322</v>
      </c>
    </row>
    <row r="255" spans="2:11" x14ac:dyDescent="0.35">
      <c r="B255" t="s">
        <v>315</v>
      </c>
    </row>
    <row r="256" spans="2:11" x14ac:dyDescent="0.35">
      <c r="D256" t="s">
        <v>91</v>
      </c>
      <c r="G256" t="s">
        <v>323</v>
      </c>
      <c r="H256" t="s">
        <v>324</v>
      </c>
    </row>
    <row r="257" spans="2:9" x14ac:dyDescent="0.35">
      <c r="B257" t="s">
        <v>71</v>
      </c>
    </row>
    <row r="258" spans="2:9" x14ac:dyDescent="0.35">
      <c r="B258" t="s">
        <v>70</v>
      </c>
      <c r="C258" t="s">
        <v>314</v>
      </c>
    </row>
    <row r="259" spans="2:9" x14ac:dyDescent="0.35">
      <c r="D259" t="s">
        <v>91</v>
      </c>
      <c r="G259" t="s">
        <v>318</v>
      </c>
      <c r="H259" t="s">
        <v>319</v>
      </c>
    </row>
    <row r="260" spans="2:9" x14ac:dyDescent="0.35">
      <c r="B260" t="s">
        <v>315</v>
      </c>
    </row>
    <row r="261" spans="2:9" x14ac:dyDescent="0.35">
      <c r="D261" t="s">
        <v>91</v>
      </c>
      <c r="G261" t="s">
        <v>316</v>
      </c>
      <c r="H261" t="s">
        <v>317</v>
      </c>
    </row>
    <row r="262" spans="2:9" x14ac:dyDescent="0.35">
      <c r="B262" t="s">
        <v>71</v>
      </c>
    </row>
    <row r="263" spans="2:9" x14ac:dyDescent="0.35">
      <c r="D263" t="s">
        <v>91</v>
      </c>
      <c r="G263" t="s">
        <v>326</v>
      </c>
      <c r="H263" t="s">
        <v>325</v>
      </c>
    </row>
    <row r="264" spans="2:9" x14ac:dyDescent="0.35">
      <c r="D264" t="s">
        <v>91</v>
      </c>
      <c r="G264" t="s">
        <v>338</v>
      </c>
      <c r="H264" t="s">
        <v>339</v>
      </c>
    </row>
    <row r="265" spans="2:9" x14ac:dyDescent="0.35">
      <c r="D265" t="s">
        <v>91</v>
      </c>
      <c r="G265" t="s">
        <v>332</v>
      </c>
      <c r="H265" t="s">
        <v>329</v>
      </c>
    </row>
    <row r="266" spans="2:9" x14ac:dyDescent="0.35">
      <c r="D266" t="s">
        <v>95</v>
      </c>
      <c r="F266" t="s">
        <v>350</v>
      </c>
      <c r="I266" t="s">
        <v>349</v>
      </c>
    </row>
    <row r="267" spans="2:9" x14ac:dyDescent="0.35">
      <c r="B267" t="s">
        <v>71</v>
      </c>
    </row>
    <row r="268" spans="2:9" x14ac:dyDescent="0.35">
      <c r="B268" t="s">
        <v>38</v>
      </c>
    </row>
    <row r="269" spans="2:9" x14ac:dyDescent="0.35">
      <c r="B269" t="s">
        <v>71</v>
      </c>
    </row>
    <row r="270" spans="2:9" x14ac:dyDescent="0.35">
      <c r="B270" t="s">
        <v>71</v>
      </c>
    </row>
    <row r="271" spans="2:9" x14ac:dyDescent="0.35">
      <c r="B271" t="s">
        <v>71</v>
      </c>
    </row>
    <row r="272" spans="2:9" x14ac:dyDescent="0.35">
      <c r="B272" t="s">
        <v>70</v>
      </c>
      <c r="C272" t="s">
        <v>280</v>
      </c>
    </row>
    <row r="273" spans="2:2" x14ac:dyDescent="0.35">
      <c r="B273" t="s">
        <v>289</v>
      </c>
    </row>
    <row r="274" spans="2:2" x14ac:dyDescent="0.35">
      <c r="B274" t="s">
        <v>71</v>
      </c>
    </row>
  </sheetData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4"/>
  <sheetViews>
    <sheetView zoomScaleNormal="100" workbookViewId="0">
      <pane ySplit="1" topLeftCell="A6" activePane="bottomLeft" state="frozen"/>
      <selection pane="bottomLeft" activeCell="G29" sqref="G29"/>
    </sheetView>
  </sheetViews>
  <sheetFormatPr defaultRowHeight="14.5" x14ac:dyDescent="0.35"/>
  <cols>
    <col min="1" max="1" width="12.453125" bestFit="1" customWidth="1"/>
    <col min="2" max="2" width="12.26953125" bestFit="1" customWidth="1"/>
    <col min="3" max="3" width="32.81640625" customWidth="1"/>
    <col min="4" max="4" width="22" bestFit="1" customWidth="1"/>
    <col min="5" max="5" width="16.7265625" bestFit="1" customWidth="1"/>
    <col min="6" max="6" width="13.7265625" bestFit="1" customWidth="1"/>
    <col min="7" max="7" width="45.54296875" customWidth="1"/>
    <col min="8" max="8" width="35.453125" customWidth="1"/>
    <col min="9" max="9" width="19" bestFit="1" customWidth="1"/>
    <col min="10" max="10" width="30.7265625" customWidth="1"/>
    <col min="11" max="11" width="37.453125" bestFit="1" customWidth="1"/>
    <col min="12" max="12" width="30.26953125" bestFit="1" customWidth="1"/>
    <col min="13" max="13" width="23" bestFit="1" customWidth="1"/>
    <col min="14" max="14" width="27.453125" customWidth="1"/>
    <col min="15" max="15" width="31.7265625" bestFit="1" customWidth="1"/>
  </cols>
  <sheetData>
    <row r="1" spans="1:15" s="2" customFormat="1" x14ac:dyDescent="0.35">
      <c r="A1" s="3" t="s">
        <v>22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32</v>
      </c>
      <c r="H1" s="2" t="s">
        <v>11</v>
      </c>
      <c r="I1" s="3" t="s">
        <v>21</v>
      </c>
      <c r="J1" s="2" t="s">
        <v>162</v>
      </c>
      <c r="K1" s="2" t="s">
        <v>163</v>
      </c>
      <c r="L1" s="2" t="s">
        <v>164</v>
      </c>
      <c r="M1" s="2" t="s">
        <v>165</v>
      </c>
      <c r="N1" s="2" t="s">
        <v>166</v>
      </c>
      <c r="O1" s="2" t="s">
        <v>187</v>
      </c>
    </row>
    <row r="2" spans="1:15" x14ac:dyDescent="0.35">
      <c r="B2" t="s">
        <v>37</v>
      </c>
    </row>
    <row r="3" spans="1:15" x14ac:dyDescent="0.35">
      <c r="D3" t="s">
        <v>97</v>
      </c>
      <c r="E3" t="s">
        <v>99</v>
      </c>
      <c r="F3" t="s">
        <v>47</v>
      </c>
      <c r="G3" t="s">
        <v>170</v>
      </c>
      <c r="H3" t="s">
        <v>48</v>
      </c>
    </row>
    <row r="4" spans="1:15" x14ac:dyDescent="0.35">
      <c r="B4" t="s">
        <v>38</v>
      </c>
    </row>
    <row r="5" spans="1:15" x14ac:dyDescent="0.35">
      <c r="B5" t="s">
        <v>37</v>
      </c>
    </row>
    <row r="6" spans="1:15" x14ac:dyDescent="0.35">
      <c r="D6" t="s">
        <v>42</v>
      </c>
      <c r="E6" t="s">
        <v>53</v>
      </c>
      <c r="F6" t="s">
        <v>52</v>
      </c>
      <c r="G6" t="s">
        <v>152</v>
      </c>
      <c r="H6" t="s">
        <v>384</v>
      </c>
    </row>
    <row r="7" spans="1:15" x14ac:dyDescent="0.35">
      <c r="B7" t="s">
        <v>70</v>
      </c>
      <c r="C7" t="s">
        <v>92</v>
      </c>
    </row>
    <row r="8" spans="1:15" x14ac:dyDescent="0.35">
      <c r="D8" t="s">
        <v>29</v>
      </c>
      <c r="F8" t="s">
        <v>54</v>
      </c>
      <c r="G8" t="s">
        <v>172</v>
      </c>
      <c r="H8" t="s">
        <v>171</v>
      </c>
      <c r="J8" t="s">
        <v>351</v>
      </c>
      <c r="K8" t="s">
        <v>251</v>
      </c>
      <c r="L8" t="s">
        <v>252</v>
      </c>
    </row>
    <row r="9" spans="1:15" x14ac:dyDescent="0.35">
      <c r="D9" t="s">
        <v>56</v>
      </c>
      <c r="E9" t="s">
        <v>108</v>
      </c>
      <c r="F9" t="s">
        <v>107</v>
      </c>
    </row>
    <row r="10" spans="1:15" x14ac:dyDescent="0.35">
      <c r="B10" t="s">
        <v>70</v>
      </c>
      <c r="C10" t="s">
        <v>116</v>
      </c>
    </row>
    <row r="11" spans="1:15" x14ac:dyDescent="0.35">
      <c r="D11" t="s">
        <v>95</v>
      </c>
      <c r="F11" t="s">
        <v>54</v>
      </c>
      <c r="I11" s="8" t="s">
        <v>112</v>
      </c>
    </row>
    <row r="12" spans="1:15" x14ac:dyDescent="0.35">
      <c r="B12" t="s">
        <v>71</v>
      </c>
    </row>
    <row r="13" spans="1:15" x14ac:dyDescent="0.35">
      <c r="B13" t="s">
        <v>70</v>
      </c>
      <c r="C13" t="s">
        <v>119</v>
      </c>
    </row>
    <row r="14" spans="1:15" x14ac:dyDescent="0.35">
      <c r="D14" t="s">
        <v>46</v>
      </c>
      <c r="F14" t="s">
        <v>117</v>
      </c>
      <c r="G14" t="s">
        <v>173</v>
      </c>
      <c r="H14" t="s">
        <v>113</v>
      </c>
    </row>
    <row r="15" spans="1:15" x14ac:dyDescent="0.35">
      <c r="D15" t="s">
        <v>46</v>
      </c>
      <c r="F15" t="s">
        <v>118</v>
      </c>
      <c r="G15" t="s">
        <v>114</v>
      </c>
      <c r="H15" t="s">
        <v>115</v>
      </c>
      <c r="J15" t="s">
        <v>253</v>
      </c>
      <c r="K15" t="s">
        <v>254</v>
      </c>
      <c r="L15" t="s">
        <v>255</v>
      </c>
    </row>
    <row r="16" spans="1:15" x14ac:dyDescent="0.35">
      <c r="B16" t="s">
        <v>71</v>
      </c>
    </row>
    <row r="17" spans="2:8" x14ac:dyDescent="0.35">
      <c r="B17" t="s">
        <v>71</v>
      </c>
    </row>
    <row r="18" spans="2:8" x14ac:dyDescent="0.35">
      <c r="B18" t="s">
        <v>38</v>
      </c>
    </row>
    <row r="19" spans="2:8" x14ac:dyDescent="0.35">
      <c r="B19" t="s">
        <v>37</v>
      </c>
    </row>
    <row r="20" spans="2:8" x14ac:dyDescent="0.35">
      <c r="D20" t="s">
        <v>42</v>
      </c>
      <c r="E20" t="s">
        <v>53</v>
      </c>
      <c r="F20" t="s">
        <v>55</v>
      </c>
      <c r="G20" t="s">
        <v>153</v>
      </c>
      <c r="H20" t="s">
        <v>394</v>
      </c>
    </row>
    <row r="21" spans="2:8" x14ac:dyDescent="0.35">
      <c r="B21" t="s">
        <v>38</v>
      </c>
    </row>
    <row r="22" spans="2:8" x14ac:dyDescent="0.35">
      <c r="B22" t="s">
        <v>70</v>
      </c>
      <c r="C22" t="s">
        <v>120</v>
      </c>
    </row>
    <row r="23" spans="2:8" x14ac:dyDescent="0.35">
      <c r="B23" t="s">
        <v>37</v>
      </c>
    </row>
    <row r="24" spans="2:8" x14ac:dyDescent="0.35">
      <c r="D24" t="s">
        <v>56</v>
      </c>
      <c r="E24" t="s">
        <v>57</v>
      </c>
      <c r="F24" t="s">
        <v>58</v>
      </c>
      <c r="G24" t="s">
        <v>154</v>
      </c>
      <c r="H24" t="s">
        <v>59</v>
      </c>
    </row>
    <row r="25" spans="2:8" x14ac:dyDescent="0.35">
      <c r="D25" t="s">
        <v>41</v>
      </c>
      <c r="F25" t="s">
        <v>66</v>
      </c>
      <c r="G25" t="s">
        <v>155</v>
      </c>
      <c r="H25" t="s">
        <v>385</v>
      </c>
    </row>
    <row r="26" spans="2:8" x14ac:dyDescent="0.35">
      <c r="B26" t="s">
        <v>38</v>
      </c>
    </row>
    <row r="27" spans="2:8" x14ac:dyDescent="0.35">
      <c r="B27" t="s">
        <v>71</v>
      </c>
    </row>
    <row r="28" spans="2:8" x14ac:dyDescent="0.35">
      <c r="B28" t="s">
        <v>37</v>
      </c>
    </row>
    <row r="29" spans="2:8" x14ac:dyDescent="0.35">
      <c r="D29" t="s">
        <v>42</v>
      </c>
      <c r="E29" t="s">
        <v>53</v>
      </c>
      <c r="F29" t="s">
        <v>122</v>
      </c>
      <c r="G29" t="s">
        <v>395</v>
      </c>
      <c r="H29" t="s">
        <v>67</v>
      </c>
    </row>
    <row r="30" spans="2:8" x14ac:dyDescent="0.35">
      <c r="B30" t="s">
        <v>70</v>
      </c>
      <c r="C30" t="s">
        <v>121</v>
      </c>
    </row>
    <row r="31" spans="2:8" x14ac:dyDescent="0.35">
      <c r="D31" t="s">
        <v>42</v>
      </c>
      <c r="E31" t="s">
        <v>124</v>
      </c>
      <c r="F31" t="s">
        <v>123</v>
      </c>
      <c r="G31" t="s">
        <v>156</v>
      </c>
      <c r="H31" t="s">
        <v>386</v>
      </c>
    </row>
    <row r="32" spans="2:8" x14ac:dyDescent="0.35">
      <c r="B32" t="s">
        <v>71</v>
      </c>
    </row>
    <row r="33" spans="2:15" x14ac:dyDescent="0.35">
      <c r="B33" t="s">
        <v>38</v>
      </c>
    </row>
    <row r="34" spans="2:15" x14ac:dyDescent="0.35">
      <c r="B34" t="s">
        <v>70</v>
      </c>
      <c r="C34" t="s">
        <v>126</v>
      </c>
    </row>
    <row r="35" spans="2:15" x14ac:dyDescent="0.35">
      <c r="B35" t="s">
        <v>37</v>
      </c>
    </row>
    <row r="36" spans="2:15" x14ac:dyDescent="0.35">
      <c r="D36" t="s">
        <v>68</v>
      </c>
      <c r="F36" t="s">
        <v>69</v>
      </c>
      <c r="G36" t="s">
        <v>175</v>
      </c>
      <c r="H36" t="s">
        <v>174</v>
      </c>
      <c r="J36" t="s">
        <v>352</v>
      </c>
      <c r="K36" t="s">
        <v>251</v>
      </c>
      <c r="L36" t="s">
        <v>252</v>
      </c>
    </row>
    <row r="37" spans="2:15" x14ac:dyDescent="0.35">
      <c r="D37" t="s">
        <v>91</v>
      </c>
      <c r="G37" t="s">
        <v>176</v>
      </c>
      <c r="H37" t="s">
        <v>73</v>
      </c>
    </row>
    <row r="38" spans="2:15" x14ac:dyDescent="0.35">
      <c r="D38" t="s">
        <v>137</v>
      </c>
      <c r="E38" t="s">
        <v>177</v>
      </c>
      <c r="F38" t="s">
        <v>181</v>
      </c>
      <c r="G38" t="s">
        <v>182</v>
      </c>
      <c r="H38" t="s">
        <v>183</v>
      </c>
    </row>
    <row r="39" spans="2:15" x14ac:dyDescent="0.35">
      <c r="D39" t="s">
        <v>137</v>
      </c>
      <c r="E39" t="s">
        <v>178</v>
      </c>
      <c r="F39" t="s">
        <v>72</v>
      </c>
      <c r="G39" t="s">
        <v>179</v>
      </c>
      <c r="H39" t="s">
        <v>180</v>
      </c>
      <c r="O39" s="9" t="s">
        <v>188</v>
      </c>
    </row>
    <row r="40" spans="2:15" x14ac:dyDescent="0.35">
      <c r="D40" t="s">
        <v>56</v>
      </c>
      <c r="E40" t="s">
        <v>189</v>
      </c>
      <c r="F40" t="s">
        <v>184</v>
      </c>
      <c r="J40" s="9"/>
    </row>
    <row r="41" spans="2:15" x14ac:dyDescent="0.35">
      <c r="B41" t="s">
        <v>70</v>
      </c>
      <c r="C41" t="s">
        <v>185</v>
      </c>
      <c r="J41" s="9"/>
    </row>
    <row r="42" spans="2:15" x14ac:dyDescent="0.35">
      <c r="D42" t="s">
        <v>95</v>
      </c>
      <c r="F42" t="s">
        <v>72</v>
      </c>
      <c r="I42" t="s">
        <v>186</v>
      </c>
      <c r="J42" s="9"/>
    </row>
    <row r="43" spans="2:15" x14ac:dyDescent="0.35">
      <c r="B43" t="s">
        <v>71</v>
      </c>
      <c r="J43" s="9"/>
    </row>
    <row r="44" spans="2:15" x14ac:dyDescent="0.35">
      <c r="B44" t="s">
        <v>38</v>
      </c>
    </row>
    <row r="45" spans="2:15" x14ac:dyDescent="0.35">
      <c r="B45" t="s">
        <v>37</v>
      </c>
    </row>
    <row r="46" spans="2:15" x14ac:dyDescent="0.35">
      <c r="D46" t="s">
        <v>41</v>
      </c>
      <c r="F46" t="s">
        <v>74</v>
      </c>
      <c r="G46" t="s">
        <v>157</v>
      </c>
      <c r="H46" t="s">
        <v>211</v>
      </c>
    </row>
    <row r="47" spans="2:15" x14ac:dyDescent="0.35">
      <c r="D47" t="s">
        <v>46</v>
      </c>
      <c r="F47" t="s">
        <v>75</v>
      </c>
      <c r="G47" t="s">
        <v>158</v>
      </c>
      <c r="H47" t="s">
        <v>215</v>
      </c>
    </row>
    <row r="48" spans="2:15" x14ac:dyDescent="0.35">
      <c r="D48" t="s">
        <v>56</v>
      </c>
      <c r="E48" t="s">
        <v>127</v>
      </c>
      <c r="F48" t="s">
        <v>93</v>
      </c>
    </row>
    <row r="49" spans="2:15" x14ac:dyDescent="0.35">
      <c r="B49" t="s">
        <v>38</v>
      </c>
    </row>
    <row r="50" spans="2:15" x14ac:dyDescent="0.35">
      <c r="B50" t="s">
        <v>70</v>
      </c>
      <c r="C50" t="s">
        <v>129</v>
      </c>
    </row>
    <row r="51" spans="2:15" x14ac:dyDescent="0.35">
      <c r="B51" t="s">
        <v>37</v>
      </c>
    </row>
    <row r="52" spans="2:15" x14ac:dyDescent="0.35">
      <c r="D52" t="s">
        <v>42</v>
      </c>
      <c r="E52" t="s">
        <v>53</v>
      </c>
      <c r="F52" t="s">
        <v>76</v>
      </c>
      <c r="G52" t="s">
        <v>159</v>
      </c>
      <c r="H52" t="s">
        <v>387</v>
      </c>
    </row>
    <row r="53" spans="2:15" x14ac:dyDescent="0.35">
      <c r="B53" t="s">
        <v>38</v>
      </c>
    </row>
    <row r="54" spans="2:15" x14ac:dyDescent="0.35">
      <c r="B54" t="s">
        <v>71</v>
      </c>
    </row>
    <row r="55" spans="2:15" x14ac:dyDescent="0.35">
      <c r="B55" t="s">
        <v>70</v>
      </c>
      <c r="C55" t="s">
        <v>132</v>
      </c>
    </row>
    <row r="56" spans="2:15" x14ac:dyDescent="0.35">
      <c r="B56" t="s">
        <v>37</v>
      </c>
    </row>
    <row r="57" spans="2:15" x14ac:dyDescent="0.35">
      <c r="D57" t="s">
        <v>68</v>
      </c>
      <c r="F57" t="s">
        <v>77</v>
      </c>
      <c r="G57" t="s">
        <v>200</v>
      </c>
      <c r="H57" t="s">
        <v>214</v>
      </c>
      <c r="J57" t="s">
        <v>353</v>
      </c>
      <c r="K57" t="s">
        <v>251</v>
      </c>
      <c r="L57" t="s">
        <v>252</v>
      </c>
    </row>
    <row r="58" spans="2:15" x14ac:dyDescent="0.35">
      <c r="D58" t="s">
        <v>91</v>
      </c>
      <c r="G58" t="s">
        <v>201</v>
      </c>
      <c r="H58" t="s">
        <v>213</v>
      </c>
    </row>
    <row r="59" spans="2:15" x14ac:dyDescent="0.35">
      <c r="D59" t="s">
        <v>137</v>
      </c>
      <c r="E59" t="s">
        <v>177</v>
      </c>
      <c r="F59" t="s">
        <v>202</v>
      </c>
      <c r="G59" t="s">
        <v>203</v>
      </c>
      <c r="H59" t="s">
        <v>204</v>
      </c>
    </row>
    <row r="60" spans="2:15" x14ac:dyDescent="0.35">
      <c r="D60" t="s">
        <v>137</v>
      </c>
      <c r="E60" t="s">
        <v>178</v>
      </c>
      <c r="F60" t="s">
        <v>80</v>
      </c>
      <c r="G60" t="s">
        <v>205</v>
      </c>
      <c r="H60" t="s">
        <v>206</v>
      </c>
      <c r="O60" s="9" t="s">
        <v>210</v>
      </c>
    </row>
    <row r="61" spans="2:15" x14ac:dyDescent="0.35">
      <c r="D61" t="s">
        <v>56</v>
      </c>
      <c r="E61" t="s">
        <v>189</v>
      </c>
      <c r="F61" t="s">
        <v>207</v>
      </c>
      <c r="J61" s="9"/>
    </row>
    <row r="62" spans="2:15" x14ac:dyDescent="0.35">
      <c r="B62" t="s">
        <v>70</v>
      </c>
      <c r="C62" t="s">
        <v>208</v>
      </c>
      <c r="J62" s="9"/>
    </row>
    <row r="63" spans="2:15" x14ac:dyDescent="0.35">
      <c r="D63" t="s">
        <v>95</v>
      </c>
      <c r="F63" t="s">
        <v>80</v>
      </c>
      <c r="I63" t="s">
        <v>209</v>
      </c>
      <c r="J63" s="9"/>
    </row>
    <row r="64" spans="2:15" x14ac:dyDescent="0.35">
      <c r="B64" t="s">
        <v>71</v>
      </c>
      <c r="J64" s="9"/>
    </row>
    <row r="65" spans="2:10" x14ac:dyDescent="0.35">
      <c r="B65" t="s">
        <v>38</v>
      </c>
    </row>
    <row r="66" spans="2:10" x14ac:dyDescent="0.35">
      <c r="B66" t="s">
        <v>37</v>
      </c>
    </row>
    <row r="67" spans="2:10" x14ac:dyDescent="0.35">
      <c r="D67" t="s">
        <v>41</v>
      </c>
      <c r="F67" t="s">
        <v>78</v>
      </c>
      <c r="G67" t="s">
        <v>157</v>
      </c>
      <c r="H67" t="s">
        <v>212</v>
      </c>
    </row>
    <row r="68" spans="2:10" x14ac:dyDescent="0.35">
      <c r="D68" t="s">
        <v>46</v>
      </c>
      <c r="F68" t="s">
        <v>94</v>
      </c>
      <c r="G68" t="s">
        <v>216</v>
      </c>
      <c r="H68" t="s">
        <v>217</v>
      </c>
    </row>
    <row r="69" spans="2:10" x14ac:dyDescent="0.35">
      <c r="D69" t="s">
        <v>56</v>
      </c>
      <c r="E69" t="s">
        <v>127</v>
      </c>
      <c r="F69" t="s">
        <v>79</v>
      </c>
    </row>
    <row r="70" spans="2:10" x14ac:dyDescent="0.35">
      <c r="B70" t="s">
        <v>38</v>
      </c>
    </row>
    <row r="71" spans="2:10" x14ac:dyDescent="0.35">
      <c r="B71" t="s">
        <v>71</v>
      </c>
    </row>
    <row r="72" spans="2:10" x14ac:dyDescent="0.35">
      <c r="B72" t="s">
        <v>70</v>
      </c>
      <c r="C72" t="s">
        <v>130</v>
      </c>
    </row>
    <row r="73" spans="2:10" x14ac:dyDescent="0.35">
      <c r="B73" t="s">
        <v>37</v>
      </c>
    </row>
    <row r="74" spans="2:10" x14ac:dyDescent="0.35">
      <c r="D74" t="s">
        <v>42</v>
      </c>
      <c r="E74" t="s">
        <v>53</v>
      </c>
      <c r="F74" t="s">
        <v>82</v>
      </c>
      <c r="G74" t="s">
        <v>160</v>
      </c>
      <c r="H74" t="s">
        <v>388</v>
      </c>
    </row>
    <row r="75" spans="2:10" x14ac:dyDescent="0.35">
      <c r="B75" t="s">
        <v>38</v>
      </c>
    </row>
    <row r="76" spans="2:10" x14ac:dyDescent="0.35">
      <c r="B76" t="s">
        <v>71</v>
      </c>
    </row>
    <row r="77" spans="2:10" x14ac:dyDescent="0.35">
      <c r="B77" t="s">
        <v>83</v>
      </c>
      <c r="C77" t="s">
        <v>131</v>
      </c>
    </row>
    <row r="78" spans="2:10" x14ac:dyDescent="0.35">
      <c r="B78" t="s">
        <v>37</v>
      </c>
    </row>
    <row r="79" spans="2:10" x14ac:dyDescent="0.35">
      <c r="D79" t="s">
        <v>68</v>
      </c>
      <c r="F79" t="s">
        <v>84</v>
      </c>
      <c r="G79" t="s">
        <v>232</v>
      </c>
      <c r="H79" t="s">
        <v>227</v>
      </c>
      <c r="J79" t="s">
        <v>354</v>
      </c>
    </row>
    <row r="80" spans="2:10" x14ac:dyDescent="0.35">
      <c r="D80" t="s">
        <v>91</v>
      </c>
      <c r="G80" t="s">
        <v>233</v>
      </c>
      <c r="H80" t="s">
        <v>85</v>
      </c>
    </row>
    <row r="81" spans="2:15" x14ac:dyDescent="0.35">
      <c r="D81" t="s">
        <v>137</v>
      </c>
      <c r="E81" t="s">
        <v>177</v>
      </c>
      <c r="F81" t="s">
        <v>218</v>
      </c>
      <c r="G81" t="s">
        <v>219</v>
      </c>
      <c r="H81" t="s">
        <v>220</v>
      </c>
    </row>
    <row r="82" spans="2:15" x14ac:dyDescent="0.35">
      <c r="D82" t="s">
        <v>137</v>
      </c>
      <c r="E82" t="s">
        <v>178</v>
      </c>
      <c r="F82" t="s">
        <v>86</v>
      </c>
      <c r="G82" t="s">
        <v>221</v>
      </c>
      <c r="H82" t="s">
        <v>222</v>
      </c>
      <c r="O82" s="9" t="s">
        <v>223</v>
      </c>
    </row>
    <row r="83" spans="2:15" x14ac:dyDescent="0.35">
      <c r="D83" t="s">
        <v>56</v>
      </c>
      <c r="E83" t="s">
        <v>189</v>
      </c>
      <c r="F83" t="s">
        <v>224</v>
      </c>
      <c r="J83" s="9"/>
    </row>
    <row r="84" spans="2:15" x14ac:dyDescent="0.35">
      <c r="B84" t="s">
        <v>70</v>
      </c>
      <c r="C84" t="s">
        <v>225</v>
      </c>
      <c r="J84" s="9"/>
    </row>
    <row r="85" spans="2:15" x14ac:dyDescent="0.35">
      <c r="D85" t="s">
        <v>95</v>
      </c>
      <c r="F85" t="s">
        <v>86</v>
      </c>
      <c r="I85" t="s">
        <v>226</v>
      </c>
      <c r="J85" s="9"/>
    </row>
    <row r="86" spans="2:15" x14ac:dyDescent="0.35">
      <c r="B86" t="s">
        <v>71</v>
      </c>
      <c r="J86" s="9"/>
    </row>
    <row r="87" spans="2:15" x14ac:dyDescent="0.35">
      <c r="B87" t="s">
        <v>38</v>
      </c>
    </row>
    <row r="88" spans="2:15" x14ac:dyDescent="0.35">
      <c r="B88" t="s">
        <v>37</v>
      </c>
    </row>
    <row r="89" spans="2:15" x14ac:dyDescent="0.35">
      <c r="D89" t="s">
        <v>41</v>
      </c>
      <c r="F89" t="s">
        <v>87</v>
      </c>
      <c r="G89" t="s">
        <v>230</v>
      </c>
      <c r="H89" t="s">
        <v>228</v>
      </c>
    </row>
    <row r="90" spans="2:15" x14ac:dyDescent="0.35">
      <c r="D90" t="s">
        <v>46</v>
      </c>
      <c r="F90" t="s">
        <v>88</v>
      </c>
      <c r="G90" t="s">
        <v>231</v>
      </c>
      <c r="H90" t="s">
        <v>229</v>
      </c>
    </row>
    <row r="91" spans="2:15" x14ac:dyDescent="0.35">
      <c r="D91" t="s">
        <v>56</v>
      </c>
      <c r="E91" t="s">
        <v>127</v>
      </c>
      <c r="F91" t="s">
        <v>89</v>
      </c>
    </row>
    <row r="92" spans="2:15" x14ac:dyDescent="0.35">
      <c r="B92" t="s">
        <v>38</v>
      </c>
    </row>
    <row r="93" spans="2:15" x14ac:dyDescent="0.35">
      <c r="B93" t="s">
        <v>71</v>
      </c>
    </row>
    <row r="94" spans="2:15" x14ac:dyDescent="0.35">
      <c r="B94" t="s">
        <v>71</v>
      </c>
    </row>
    <row r="95" spans="2:15" x14ac:dyDescent="0.35">
      <c r="B95" t="s">
        <v>70</v>
      </c>
      <c r="C95" t="s">
        <v>92</v>
      </c>
    </row>
    <row r="96" spans="2:15" x14ac:dyDescent="0.35">
      <c r="B96" t="s">
        <v>37</v>
      </c>
    </row>
    <row r="97" spans="2:8" x14ac:dyDescent="0.35">
      <c r="D97" t="s">
        <v>42</v>
      </c>
      <c r="E97" t="s">
        <v>51</v>
      </c>
      <c r="F97" t="s">
        <v>90</v>
      </c>
      <c r="G97" t="s">
        <v>161</v>
      </c>
      <c r="H97" t="s">
        <v>389</v>
      </c>
    </row>
    <row r="98" spans="2:8" x14ac:dyDescent="0.35">
      <c r="B98" t="s">
        <v>70</v>
      </c>
      <c r="C98" t="s">
        <v>136</v>
      </c>
    </row>
    <row r="99" spans="2:8" x14ac:dyDescent="0.35">
      <c r="D99" t="s">
        <v>137</v>
      </c>
      <c r="E99" t="s">
        <v>138</v>
      </c>
      <c r="F99" t="s">
        <v>139</v>
      </c>
      <c r="G99" t="s">
        <v>141</v>
      </c>
      <c r="H99" t="s">
        <v>140</v>
      </c>
    </row>
    <row r="100" spans="2:8" x14ac:dyDescent="0.35">
      <c r="D100" t="s">
        <v>41</v>
      </c>
      <c r="F100" t="s">
        <v>142</v>
      </c>
      <c r="G100" t="s">
        <v>143</v>
      </c>
      <c r="H100" t="s">
        <v>143</v>
      </c>
    </row>
    <row r="101" spans="2:8" x14ac:dyDescent="0.35">
      <c r="D101" t="s">
        <v>41</v>
      </c>
      <c r="F101" t="s">
        <v>144</v>
      </c>
      <c r="G101" t="s">
        <v>241</v>
      </c>
      <c r="H101" t="s">
        <v>242</v>
      </c>
    </row>
    <row r="102" spans="2:8" x14ac:dyDescent="0.35">
      <c r="B102" t="s">
        <v>71</v>
      </c>
    </row>
    <row r="103" spans="2:8" x14ac:dyDescent="0.35">
      <c r="B103" t="s">
        <v>38</v>
      </c>
    </row>
    <row r="104" spans="2:8" x14ac:dyDescent="0.35">
      <c r="B104" t="s">
        <v>71</v>
      </c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defaultRowHeight="14.5" x14ac:dyDescent="0.35"/>
  <cols>
    <col min="1" max="1" width="16.81640625" bestFit="1" customWidth="1"/>
    <col min="2" max="2" width="12.1796875" bestFit="1" customWidth="1"/>
    <col min="3" max="3" width="15.7265625" bestFit="1" customWidth="1"/>
    <col min="4" max="4" width="58" customWidth="1"/>
  </cols>
  <sheetData>
    <row r="1" spans="1:4" x14ac:dyDescent="0.35">
      <c r="A1" s="2" t="s">
        <v>192</v>
      </c>
      <c r="B1" s="2" t="s">
        <v>193</v>
      </c>
      <c r="C1" s="2" t="s">
        <v>194</v>
      </c>
      <c r="D1" s="2" t="s">
        <v>195</v>
      </c>
    </row>
    <row r="2" spans="1:4" ht="130.5" x14ac:dyDescent="0.35">
      <c r="A2" t="s">
        <v>177</v>
      </c>
      <c r="B2" t="s">
        <v>196</v>
      </c>
      <c r="C2" t="s">
        <v>197</v>
      </c>
      <c r="D2" s="4" t="s">
        <v>198</v>
      </c>
    </row>
    <row r="3" spans="1:4" ht="58" x14ac:dyDescent="0.35">
      <c r="A3" t="s">
        <v>178</v>
      </c>
      <c r="B3" t="s">
        <v>196</v>
      </c>
      <c r="C3" t="s">
        <v>197</v>
      </c>
      <c r="D3" s="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6"/>
  <sheetViews>
    <sheetView tabSelected="1" workbookViewId="0">
      <pane ySplit="1" topLeftCell="A20" activePane="bottomLeft" state="frozen"/>
      <selection pane="bottomLeft" activeCell="D30" sqref="D30"/>
    </sheetView>
  </sheetViews>
  <sheetFormatPr defaultRowHeight="14.5" x14ac:dyDescent="0.35"/>
  <cols>
    <col min="1" max="1" width="16.54296875" bestFit="1" customWidth="1"/>
    <col min="2" max="2" width="13.81640625" bestFit="1" customWidth="1"/>
    <col min="3" max="3" width="31.453125" bestFit="1" customWidth="1"/>
    <col min="4" max="4" width="43" bestFit="1" customWidth="1"/>
  </cols>
  <sheetData>
    <row r="1" spans="1:4" s="1" customFormat="1" x14ac:dyDescent="0.35">
      <c r="A1" s="2" t="s">
        <v>12</v>
      </c>
      <c r="B1" s="2" t="s">
        <v>13</v>
      </c>
      <c r="C1" s="2" t="s">
        <v>35</v>
      </c>
      <c r="D1" s="2" t="s">
        <v>14</v>
      </c>
    </row>
    <row r="2" spans="1:4" x14ac:dyDescent="0.35">
      <c r="A2" t="s">
        <v>43</v>
      </c>
      <c r="B2" t="str">
        <f>"1"</f>
        <v>1</v>
      </c>
      <c r="C2" t="s">
        <v>239</v>
      </c>
      <c r="D2" t="s">
        <v>44</v>
      </c>
    </row>
    <row r="3" spans="1:4" x14ac:dyDescent="0.35">
      <c r="A3" t="s">
        <v>43</v>
      </c>
      <c r="B3" t="str">
        <f>"2"</f>
        <v>2</v>
      </c>
      <c r="C3" t="s">
        <v>236</v>
      </c>
      <c r="D3" t="s">
        <v>45</v>
      </c>
    </row>
    <row r="4" spans="1:4" x14ac:dyDescent="0.35">
      <c r="A4" t="s">
        <v>43</v>
      </c>
      <c r="B4" t="str">
        <f>"3"</f>
        <v>3</v>
      </c>
      <c r="C4" t="s">
        <v>238</v>
      </c>
      <c r="D4" t="s">
        <v>390</v>
      </c>
    </row>
    <row r="5" spans="1:4" x14ac:dyDescent="0.35">
      <c r="A5" t="s">
        <v>43</v>
      </c>
      <c r="B5" t="str">
        <f>"4"</f>
        <v>4</v>
      </c>
      <c r="C5" t="s">
        <v>237</v>
      </c>
      <c r="D5" t="s">
        <v>391</v>
      </c>
    </row>
    <row r="6" spans="1:4" x14ac:dyDescent="0.35">
      <c r="A6" t="s">
        <v>43</v>
      </c>
      <c r="B6" t="str">
        <f>"5"</f>
        <v>5</v>
      </c>
      <c r="C6" t="s">
        <v>106</v>
      </c>
      <c r="D6" t="s">
        <v>50</v>
      </c>
    </row>
    <row r="7" spans="1:4" x14ac:dyDescent="0.35">
      <c r="A7" t="s">
        <v>99</v>
      </c>
      <c r="B7" t="str">
        <f>"1"</f>
        <v>1</v>
      </c>
      <c r="C7" t="s">
        <v>100</v>
      </c>
      <c r="D7" t="s">
        <v>101</v>
      </c>
    </row>
    <row r="8" spans="1:4" x14ac:dyDescent="0.35">
      <c r="A8" t="s">
        <v>99</v>
      </c>
      <c r="B8" t="str">
        <f>"2"</f>
        <v>2</v>
      </c>
      <c r="C8" t="s">
        <v>102</v>
      </c>
      <c r="D8" t="s">
        <v>103</v>
      </c>
    </row>
    <row r="9" spans="1:4" x14ac:dyDescent="0.35">
      <c r="A9" t="s">
        <v>99</v>
      </c>
      <c r="B9" t="str">
        <f>"3"</f>
        <v>3</v>
      </c>
      <c r="C9" t="s">
        <v>104</v>
      </c>
      <c r="D9" t="s">
        <v>105</v>
      </c>
    </row>
    <row r="10" spans="1:4" x14ac:dyDescent="0.35">
      <c r="A10" t="s">
        <v>53</v>
      </c>
      <c r="B10" t="str">
        <f>"1"</f>
        <v>1</v>
      </c>
      <c r="C10" t="s">
        <v>234</v>
      </c>
      <c r="D10" t="s">
        <v>133</v>
      </c>
    </row>
    <row r="11" spans="1:4" x14ac:dyDescent="0.35">
      <c r="A11" t="s">
        <v>53</v>
      </c>
      <c r="B11" t="str">
        <f>"2"</f>
        <v>2</v>
      </c>
      <c r="C11" t="s">
        <v>235</v>
      </c>
      <c r="D11" t="s">
        <v>134</v>
      </c>
    </row>
    <row r="12" spans="1:4" x14ac:dyDescent="0.35">
      <c r="A12" t="s">
        <v>53</v>
      </c>
      <c r="B12" t="str">
        <f>"3"</f>
        <v>3</v>
      </c>
      <c r="C12" t="s">
        <v>109</v>
      </c>
      <c r="D12" t="s">
        <v>135</v>
      </c>
    </row>
    <row r="13" spans="1:4" x14ac:dyDescent="0.35">
      <c r="A13" t="s">
        <v>57</v>
      </c>
      <c r="B13" t="s">
        <v>60</v>
      </c>
      <c r="C13" t="s">
        <v>60</v>
      </c>
      <c r="D13" t="s">
        <v>60</v>
      </c>
    </row>
    <row r="14" spans="1:4" x14ac:dyDescent="0.35">
      <c r="A14" t="s">
        <v>57</v>
      </c>
      <c r="B14" t="s">
        <v>61</v>
      </c>
      <c r="C14" t="s">
        <v>61</v>
      </c>
      <c r="D14" t="s">
        <v>61</v>
      </c>
    </row>
    <row r="15" spans="1:4" x14ac:dyDescent="0.35">
      <c r="A15" t="s">
        <v>57</v>
      </c>
      <c r="B15" t="s">
        <v>62</v>
      </c>
      <c r="C15" t="s">
        <v>62</v>
      </c>
      <c r="D15" t="s">
        <v>62</v>
      </c>
    </row>
    <row r="16" spans="1:4" x14ac:dyDescent="0.35">
      <c r="A16" t="s">
        <v>57</v>
      </c>
      <c r="B16" t="s">
        <v>63</v>
      </c>
      <c r="C16" t="s">
        <v>63</v>
      </c>
      <c r="D16" t="s">
        <v>63</v>
      </c>
    </row>
    <row r="17" spans="1:8" x14ac:dyDescent="0.35">
      <c r="A17" t="s">
        <v>57</v>
      </c>
      <c r="B17" t="s">
        <v>64</v>
      </c>
      <c r="C17" t="s">
        <v>64</v>
      </c>
      <c r="D17" t="s">
        <v>64</v>
      </c>
    </row>
    <row r="18" spans="1:8" x14ac:dyDescent="0.35">
      <c r="A18" t="s">
        <v>57</v>
      </c>
      <c r="B18" t="s">
        <v>311</v>
      </c>
      <c r="C18" t="s">
        <v>311</v>
      </c>
      <c r="D18" t="s">
        <v>311</v>
      </c>
    </row>
    <row r="19" spans="1:8" x14ac:dyDescent="0.35">
      <c r="A19" t="s">
        <v>57</v>
      </c>
      <c r="B19" t="s">
        <v>65</v>
      </c>
      <c r="C19" t="s">
        <v>145</v>
      </c>
      <c r="D19" t="s">
        <v>65</v>
      </c>
    </row>
    <row r="20" spans="1:8" x14ac:dyDescent="0.35">
      <c r="A20" t="s">
        <v>57</v>
      </c>
      <c r="B20" t="s">
        <v>146</v>
      </c>
      <c r="C20" t="s">
        <v>147</v>
      </c>
      <c r="D20" t="s">
        <v>392</v>
      </c>
    </row>
    <row r="21" spans="1:8" x14ac:dyDescent="0.35">
      <c r="A21" t="s">
        <v>57</v>
      </c>
      <c r="B21" t="s">
        <v>405</v>
      </c>
      <c r="C21" t="s">
        <v>406</v>
      </c>
      <c r="D21" t="s">
        <v>407</v>
      </c>
      <c r="E21" t="s">
        <v>408</v>
      </c>
    </row>
    <row r="22" spans="1:8" x14ac:dyDescent="0.35">
      <c r="A22" t="s">
        <v>57</v>
      </c>
      <c r="B22" t="s">
        <v>409</v>
      </c>
      <c r="C22" t="s">
        <v>409</v>
      </c>
      <c r="D22" t="s">
        <v>410</v>
      </c>
    </row>
    <row r="23" spans="1:8" x14ac:dyDescent="0.35">
      <c r="A23" t="s">
        <v>57</v>
      </c>
      <c r="B23" t="s">
        <v>148</v>
      </c>
      <c r="C23" t="s">
        <v>149</v>
      </c>
      <c r="D23" t="s">
        <v>49</v>
      </c>
    </row>
    <row r="24" spans="1:8" x14ac:dyDescent="0.35">
      <c r="A24" t="s">
        <v>51</v>
      </c>
      <c r="B24" t="str">
        <f>"1"</f>
        <v>1</v>
      </c>
      <c r="C24" t="s">
        <v>234</v>
      </c>
      <c r="D24" t="s">
        <v>133</v>
      </c>
    </row>
    <row r="25" spans="1:8" x14ac:dyDescent="0.35">
      <c r="A25" t="s">
        <v>51</v>
      </c>
      <c r="B25" t="str">
        <f>"2"</f>
        <v>2</v>
      </c>
      <c r="C25" t="s">
        <v>235</v>
      </c>
      <c r="D25" t="s">
        <v>134</v>
      </c>
    </row>
    <row r="26" spans="1:8" x14ac:dyDescent="0.35">
      <c r="E26" t="s">
        <v>404</v>
      </c>
    </row>
    <row r="27" spans="1:8" x14ac:dyDescent="0.35">
      <c r="E27" t="s">
        <v>98</v>
      </c>
      <c r="F27" t="str">
        <f>"2"</f>
        <v>2</v>
      </c>
      <c r="G27" t="s">
        <v>400</v>
      </c>
      <c r="H27" t="s">
        <v>400</v>
      </c>
    </row>
    <row r="28" spans="1:8" x14ac:dyDescent="0.35">
      <c r="E28" t="s">
        <v>98</v>
      </c>
      <c r="F28" t="str">
        <f>"3"</f>
        <v>3</v>
      </c>
      <c r="G28" t="s">
        <v>398</v>
      </c>
      <c r="H28" t="s">
        <v>399</v>
      </c>
    </row>
    <row r="29" spans="1:8" x14ac:dyDescent="0.35">
      <c r="A29" t="s">
        <v>98</v>
      </c>
      <c r="B29" t="str">
        <f>"14"</f>
        <v>14</v>
      </c>
      <c r="C29" t="s">
        <v>411</v>
      </c>
      <c r="D29" t="s">
        <v>411</v>
      </c>
      <c r="E29" t="str">
        <f>"10"</f>
        <v>10</v>
      </c>
      <c r="F29" t="s">
        <v>397</v>
      </c>
      <c r="G29" t="s">
        <v>397</v>
      </c>
    </row>
    <row r="30" spans="1:8" x14ac:dyDescent="0.35">
      <c r="A30" t="s">
        <v>98</v>
      </c>
      <c r="B30" t="str">
        <f>"4"</f>
        <v>4</v>
      </c>
      <c r="C30" t="s">
        <v>402</v>
      </c>
      <c r="D30" t="s">
        <v>402</v>
      </c>
      <c r="E30" t="s">
        <v>401</v>
      </c>
    </row>
    <row r="31" spans="1:8" x14ac:dyDescent="0.35">
      <c r="A31" t="s">
        <v>98</v>
      </c>
      <c r="B31" t="str">
        <f>"5"</f>
        <v>5</v>
      </c>
      <c r="C31" t="s">
        <v>403</v>
      </c>
      <c r="D31" t="s">
        <v>403</v>
      </c>
    </row>
    <row r="32" spans="1:8" x14ac:dyDescent="0.35">
      <c r="A32" t="s">
        <v>98</v>
      </c>
      <c r="B32" t="str">
        <f>"12"</f>
        <v>12</v>
      </c>
      <c r="C32" t="s">
        <v>396</v>
      </c>
      <c r="D32" t="s">
        <v>396</v>
      </c>
    </row>
    <row r="33" spans="1:4" x14ac:dyDescent="0.35">
      <c r="A33" t="s">
        <v>108</v>
      </c>
      <c r="B33" t="str">
        <f>"99"</f>
        <v>99</v>
      </c>
      <c r="C33" t="s">
        <v>109</v>
      </c>
      <c r="D33" t="s">
        <v>110</v>
      </c>
    </row>
    <row r="34" spans="1:4" x14ac:dyDescent="0.35">
      <c r="A34" t="s">
        <v>124</v>
      </c>
      <c r="B34" t="str">
        <f>"1"</f>
        <v>1</v>
      </c>
      <c r="C34" t="str">
        <f>"1"</f>
        <v>1</v>
      </c>
      <c r="D34" t="str">
        <f>"1"</f>
        <v>1</v>
      </c>
    </row>
    <row r="35" spans="1:4" x14ac:dyDescent="0.35">
      <c r="A35" t="s">
        <v>124</v>
      </c>
      <c r="B35" t="str">
        <f>"2"</f>
        <v>2</v>
      </c>
      <c r="C35" t="str">
        <f>"2"</f>
        <v>2</v>
      </c>
      <c r="D35" t="str">
        <f>"2"</f>
        <v>2</v>
      </c>
    </row>
    <row r="36" spans="1:4" x14ac:dyDescent="0.35">
      <c r="A36" t="s">
        <v>124</v>
      </c>
      <c r="B36" t="str">
        <f>"3"</f>
        <v>3</v>
      </c>
      <c r="C36" t="str">
        <f>"3"</f>
        <v>3</v>
      </c>
      <c r="D36" t="str">
        <f>"3"</f>
        <v>3</v>
      </c>
    </row>
    <row r="37" spans="1:4" x14ac:dyDescent="0.35">
      <c r="A37" t="s">
        <v>124</v>
      </c>
      <c r="B37" t="str">
        <f>"77"</f>
        <v>77</v>
      </c>
      <c r="C37" t="s">
        <v>125</v>
      </c>
      <c r="D37" t="s">
        <v>240</v>
      </c>
    </row>
    <row r="38" spans="1:4" x14ac:dyDescent="0.35">
      <c r="A38" t="s">
        <v>124</v>
      </c>
      <c r="B38" t="str">
        <f>"33"</f>
        <v>33</v>
      </c>
      <c r="C38" t="s">
        <v>109</v>
      </c>
      <c r="D38" t="s">
        <v>110</v>
      </c>
    </row>
    <row r="39" spans="1:4" x14ac:dyDescent="0.35">
      <c r="A39" t="s">
        <v>127</v>
      </c>
      <c r="B39" t="str">
        <f>"1"</f>
        <v>1</v>
      </c>
      <c r="C39" t="s">
        <v>128</v>
      </c>
      <c r="D39" t="s">
        <v>81</v>
      </c>
    </row>
    <row r="40" spans="1:4" x14ac:dyDescent="0.35">
      <c r="A40" t="s">
        <v>189</v>
      </c>
      <c r="B40" t="str">
        <f>"88888"</f>
        <v>88888</v>
      </c>
      <c r="C40" t="s">
        <v>190</v>
      </c>
      <c r="D40" t="s">
        <v>191</v>
      </c>
    </row>
    <row r="41" spans="1:4" x14ac:dyDescent="0.35">
      <c r="A41" t="s">
        <v>189</v>
      </c>
      <c r="B41" t="str">
        <f>"77777"</f>
        <v>77777</v>
      </c>
      <c r="C41" t="s">
        <v>109</v>
      </c>
      <c r="D41" t="s">
        <v>135</v>
      </c>
    </row>
    <row r="42" spans="1:4" x14ac:dyDescent="0.35">
      <c r="A42" t="s">
        <v>138</v>
      </c>
      <c r="B42" t="str">
        <f>"3"</f>
        <v>3</v>
      </c>
      <c r="C42" t="s">
        <v>334</v>
      </c>
      <c r="D42" t="s">
        <v>334</v>
      </c>
    </row>
    <row r="43" spans="1:4" x14ac:dyDescent="0.35">
      <c r="A43" t="s">
        <v>138</v>
      </c>
      <c r="B43" t="str">
        <f>"1"</f>
        <v>1</v>
      </c>
      <c r="C43" t="s">
        <v>243</v>
      </c>
      <c r="D43" t="s">
        <v>243</v>
      </c>
    </row>
    <row r="44" spans="1:4" x14ac:dyDescent="0.35">
      <c r="A44" t="s">
        <v>138</v>
      </c>
      <c r="B44" t="str">
        <f>"4"</f>
        <v>4</v>
      </c>
      <c r="C44" t="s">
        <v>336</v>
      </c>
      <c r="D44" t="s">
        <v>336</v>
      </c>
    </row>
    <row r="45" spans="1:4" x14ac:dyDescent="0.35">
      <c r="A45" t="s">
        <v>138</v>
      </c>
      <c r="B45" t="str">
        <f>"2"</f>
        <v>2</v>
      </c>
      <c r="C45" t="s">
        <v>244</v>
      </c>
      <c r="D45" t="s">
        <v>244</v>
      </c>
    </row>
    <row r="46" spans="1:4" x14ac:dyDescent="0.35">
      <c r="A46" t="s">
        <v>138</v>
      </c>
      <c r="B46" t="str">
        <f>"7"</f>
        <v>7</v>
      </c>
      <c r="C46" t="s">
        <v>246</v>
      </c>
      <c r="D46" t="s">
        <v>246</v>
      </c>
    </row>
    <row r="47" spans="1:4" x14ac:dyDescent="0.35">
      <c r="A47" t="s">
        <v>138</v>
      </c>
      <c r="B47" t="str">
        <f>"15"</f>
        <v>15</v>
      </c>
      <c r="C47" t="s">
        <v>337</v>
      </c>
      <c r="D47" t="s">
        <v>337</v>
      </c>
    </row>
    <row r="48" spans="1:4" x14ac:dyDescent="0.35">
      <c r="A48" t="s">
        <v>138</v>
      </c>
      <c r="B48" t="str">
        <f>"8"</f>
        <v>8</v>
      </c>
      <c r="C48" t="s">
        <v>247</v>
      </c>
      <c r="D48" t="s">
        <v>247</v>
      </c>
    </row>
    <row r="49" spans="1:4" x14ac:dyDescent="0.35">
      <c r="A49" t="s">
        <v>138</v>
      </c>
      <c r="B49" t="str">
        <f>"5"</f>
        <v>5</v>
      </c>
      <c r="C49" t="s">
        <v>245</v>
      </c>
      <c r="D49" t="s">
        <v>245</v>
      </c>
    </row>
    <row r="50" spans="1:4" x14ac:dyDescent="0.35">
      <c r="A50" t="s">
        <v>138</v>
      </c>
      <c r="B50" t="str">
        <f>"11"</f>
        <v>11</v>
      </c>
      <c r="C50" t="s">
        <v>248</v>
      </c>
      <c r="D50" t="s">
        <v>248</v>
      </c>
    </row>
    <row r="51" spans="1:4" x14ac:dyDescent="0.35">
      <c r="A51" t="s">
        <v>138</v>
      </c>
      <c r="B51" t="str">
        <f>"12"</f>
        <v>12</v>
      </c>
      <c r="C51" t="s">
        <v>249</v>
      </c>
      <c r="D51" t="s">
        <v>249</v>
      </c>
    </row>
    <row r="52" spans="1:4" x14ac:dyDescent="0.35">
      <c r="A52" t="s">
        <v>138</v>
      </c>
      <c r="B52" t="str">
        <f>"13"</f>
        <v>13</v>
      </c>
      <c r="C52" t="s">
        <v>335</v>
      </c>
      <c r="D52" t="s">
        <v>335</v>
      </c>
    </row>
    <row r="53" spans="1:4" x14ac:dyDescent="0.35">
      <c r="A53" t="s">
        <v>138</v>
      </c>
      <c r="B53" t="str">
        <f>"14"</f>
        <v>14</v>
      </c>
      <c r="C53" t="s">
        <v>250</v>
      </c>
      <c r="D53" t="s">
        <v>250</v>
      </c>
    </row>
    <row r="64" spans="1:4" x14ac:dyDescent="0.35">
      <c r="B64" s="5"/>
    </row>
    <row r="65" spans="2:2" x14ac:dyDescent="0.35">
      <c r="B65" s="5"/>
    </row>
    <row r="66" spans="2:2" x14ac:dyDescent="0.35">
      <c r="B66" s="5"/>
    </row>
    <row r="67" spans="2:2" x14ac:dyDescent="0.35">
      <c r="B67" s="5"/>
    </row>
    <row r="68" spans="2:2" x14ac:dyDescent="0.35">
      <c r="B68" s="5"/>
    </row>
    <row r="69" spans="2:2" x14ac:dyDescent="0.35">
      <c r="B69" s="5"/>
    </row>
    <row r="70" spans="2:2" x14ac:dyDescent="0.35">
      <c r="B70" s="5"/>
    </row>
    <row r="71" spans="2:2" x14ac:dyDescent="0.35">
      <c r="B71" s="5"/>
    </row>
    <row r="72" spans="2:2" x14ac:dyDescent="0.35">
      <c r="B72" s="5"/>
    </row>
    <row r="73" spans="2:2" x14ac:dyDescent="0.35">
      <c r="B73" s="5"/>
    </row>
    <row r="74" spans="2:2" x14ac:dyDescent="0.35">
      <c r="B74" s="5"/>
    </row>
    <row r="75" spans="2:2" x14ac:dyDescent="0.35">
      <c r="B75" s="5"/>
    </row>
    <row r="76" spans="2:2" x14ac:dyDescent="0.35">
      <c r="B76" s="5"/>
    </row>
    <row r="77" spans="2:2" x14ac:dyDescent="0.35">
      <c r="B77" s="5"/>
    </row>
    <row r="78" spans="2:2" x14ac:dyDescent="0.35">
      <c r="B78" s="5"/>
    </row>
    <row r="79" spans="2:2" x14ac:dyDescent="0.35">
      <c r="B79" s="5"/>
    </row>
    <row r="80" spans="2:2" x14ac:dyDescent="0.35">
      <c r="B80" s="5"/>
    </row>
    <row r="81" spans="2:3" x14ac:dyDescent="0.35">
      <c r="B81" s="5"/>
    </row>
    <row r="82" spans="2:3" x14ac:dyDescent="0.35">
      <c r="B82" s="5"/>
    </row>
    <row r="83" spans="2:3" x14ac:dyDescent="0.35">
      <c r="B83" s="5"/>
    </row>
    <row r="84" spans="2:3" x14ac:dyDescent="0.35">
      <c r="B84" s="5"/>
    </row>
    <row r="85" spans="2:3" x14ac:dyDescent="0.35">
      <c r="B85" s="5"/>
    </row>
    <row r="86" spans="2:3" x14ac:dyDescent="0.35">
      <c r="B86" s="5"/>
    </row>
    <row r="87" spans="2:3" x14ac:dyDescent="0.35">
      <c r="B87" s="5"/>
    </row>
    <row r="88" spans="2:3" x14ac:dyDescent="0.35">
      <c r="B88" s="5"/>
    </row>
    <row r="89" spans="2:3" x14ac:dyDescent="0.35">
      <c r="B89" s="5"/>
    </row>
    <row r="90" spans="2:3" x14ac:dyDescent="0.35">
      <c r="B90" s="5"/>
    </row>
    <row r="91" spans="2:3" x14ac:dyDescent="0.35">
      <c r="B91" s="5"/>
    </row>
    <row r="92" spans="2:3" x14ac:dyDescent="0.35">
      <c r="B92" s="5"/>
    </row>
    <row r="93" spans="2:3" x14ac:dyDescent="0.35">
      <c r="B93" s="5"/>
    </row>
    <row r="94" spans="2:3" x14ac:dyDescent="0.35">
      <c r="B94" s="5"/>
    </row>
    <row r="95" spans="2:3" x14ac:dyDescent="0.35">
      <c r="B95" s="5"/>
      <c r="C95" s="5"/>
    </row>
    <row r="96" spans="2:3" x14ac:dyDescent="0.35">
      <c r="B96" s="5"/>
      <c r="C96" s="5"/>
    </row>
    <row r="97" spans="2:3" x14ac:dyDescent="0.35">
      <c r="B97" s="5"/>
      <c r="C97" s="5"/>
    </row>
    <row r="98" spans="2:3" x14ac:dyDescent="0.35">
      <c r="B98" s="5"/>
      <c r="C98" s="5"/>
    </row>
    <row r="99" spans="2:3" x14ac:dyDescent="0.35">
      <c r="B99" s="5"/>
      <c r="C99" s="5"/>
    </row>
    <row r="100" spans="2:3" x14ac:dyDescent="0.35">
      <c r="B100" s="5"/>
      <c r="C100" s="5"/>
    </row>
    <row r="101" spans="2:3" x14ac:dyDescent="0.35">
      <c r="B101" s="5"/>
      <c r="C101" s="5"/>
    </row>
    <row r="102" spans="2:3" x14ac:dyDescent="0.35">
      <c r="C102" s="5"/>
    </row>
    <row r="103" spans="2:3" x14ac:dyDescent="0.35">
      <c r="B103" s="5"/>
      <c r="C103" s="5"/>
    </row>
    <row r="104" spans="2:3" x14ac:dyDescent="0.35">
      <c r="B104" s="5"/>
      <c r="C104" s="5"/>
    </row>
    <row r="105" spans="2:3" x14ac:dyDescent="0.35">
      <c r="B105" s="5"/>
      <c r="C105" s="5"/>
    </row>
    <row r="106" spans="2:3" x14ac:dyDescent="0.35">
      <c r="B106" s="5"/>
      <c r="C106" s="5"/>
    </row>
    <row r="107" spans="2:3" x14ac:dyDescent="0.35">
      <c r="B107" s="5"/>
      <c r="C107" s="5"/>
    </row>
    <row r="108" spans="2:3" x14ac:dyDescent="0.35">
      <c r="B108" s="5"/>
      <c r="C108" s="5"/>
    </row>
    <row r="109" spans="2:3" x14ac:dyDescent="0.35">
      <c r="B109" s="5"/>
      <c r="C109" s="5"/>
    </row>
    <row r="110" spans="2:3" x14ac:dyDescent="0.35">
      <c r="B110" s="5"/>
      <c r="C110" s="5"/>
    </row>
    <row r="111" spans="2:3" x14ac:dyDescent="0.35">
      <c r="B111" s="5"/>
      <c r="C111" s="5"/>
    </row>
    <row r="112" spans="2:3" x14ac:dyDescent="0.35">
      <c r="B112" s="5"/>
      <c r="C112" s="5"/>
    </row>
    <row r="113" spans="2:3" x14ac:dyDescent="0.35">
      <c r="B113" s="5"/>
      <c r="C113" s="5"/>
    </row>
    <row r="114" spans="2:3" x14ac:dyDescent="0.35">
      <c r="B114" s="5"/>
      <c r="C114" s="5"/>
    </row>
    <row r="115" spans="2:3" x14ac:dyDescent="0.35">
      <c r="B115" s="5"/>
      <c r="C115" s="5"/>
    </row>
    <row r="116" spans="2:3" x14ac:dyDescent="0.35">
      <c r="B116" s="5"/>
      <c r="C116" s="5"/>
    </row>
    <row r="117" spans="2:3" x14ac:dyDescent="0.35">
      <c r="B117" s="5"/>
      <c r="C117" s="5"/>
    </row>
    <row r="118" spans="2:3" x14ac:dyDescent="0.35">
      <c r="B118" s="5"/>
      <c r="C118" s="5"/>
    </row>
    <row r="119" spans="2:3" x14ac:dyDescent="0.35">
      <c r="B119" s="5"/>
      <c r="C119" s="5"/>
    </row>
    <row r="120" spans="2:3" x14ac:dyDescent="0.35">
      <c r="B120" s="5"/>
      <c r="C120" s="5"/>
    </row>
    <row r="121" spans="2:3" x14ac:dyDescent="0.35">
      <c r="B121" s="5"/>
    </row>
    <row r="122" spans="2:3" x14ac:dyDescent="0.35">
      <c r="B122" s="5"/>
    </row>
    <row r="123" spans="2:3" x14ac:dyDescent="0.35">
      <c r="B123" s="5"/>
    </row>
    <row r="124" spans="2:3" x14ac:dyDescent="0.35">
      <c r="B124" s="5"/>
    </row>
    <row r="125" spans="2:3" x14ac:dyDescent="0.35">
      <c r="B125" s="5"/>
    </row>
    <row r="126" spans="2:3" x14ac:dyDescent="0.35">
      <c r="B126" s="5"/>
    </row>
    <row r="127" spans="2:3" x14ac:dyDescent="0.35">
      <c r="B127" s="5"/>
    </row>
    <row r="129" spans="2:2" x14ac:dyDescent="0.35">
      <c r="B129" s="5"/>
    </row>
    <row r="130" spans="2:2" x14ac:dyDescent="0.35">
      <c r="B130" s="5"/>
    </row>
    <row r="131" spans="2:2" x14ac:dyDescent="0.35">
      <c r="B131" s="5"/>
    </row>
    <row r="132" spans="2:2" x14ac:dyDescent="0.35">
      <c r="B132" s="5"/>
    </row>
    <row r="133" spans="2:2" x14ac:dyDescent="0.35">
      <c r="B133" s="5"/>
    </row>
    <row r="134" spans="2:2" x14ac:dyDescent="0.35">
      <c r="B134" s="5"/>
    </row>
    <row r="135" spans="2:2" x14ac:dyDescent="0.35">
      <c r="B135" s="5"/>
    </row>
    <row r="136" spans="2:2" x14ac:dyDescent="0.35">
      <c r="B136" s="5"/>
    </row>
    <row r="137" spans="2:2" x14ac:dyDescent="0.35">
      <c r="B137" s="5"/>
    </row>
    <row r="138" spans="2:2" x14ac:dyDescent="0.35">
      <c r="B138" s="5"/>
    </row>
    <row r="139" spans="2:2" x14ac:dyDescent="0.35">
      <c r="B139" s="5"/>
    </row>
    <row r="140" spans="2:2" x14ac:dyDescent="0.35">
      <c r="B140" s="5"/>
    </row>
    <row r="141" spans="2:2" x14ac:dyDescent="0.35">
      <c r="B141" s="5"/>
    </row>
    <row r="142" spans="2:2" x14ac:dyDescent="0.35">
      <c r="B142" s="5"/>
    </row>
    <row r="143" spans="2:2" x14ac:dyDescent="0.35">
      <c r="B143" s="5"/>
    </row>
    <row r="144" spans="2:2" x14ac:dyDescent="0.35">
      <c r="B144" s="5"/>
    </row>
    <row r="145" spans="2:2" x14ac:dyDescent="0.35">
      <c r="B145" s="5"/>
    </row>
    <row r="146" spans="2:2" x14ac:dyDescent="0.35">
      <c r="B146" s="5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16.7265625" bestFit="1" customWidth="1"/>
    <col min="2" max="2" width="40.54296875" bestFit="1" customWidth="1"/>
  </cols>
  <sheetData>
    <row r="1" spans="1:2" x14ac:dyDescent="0.35">
      <c r="A1" s="6" t="s">
        <v>31</v>
      </c>
      <c r="B1" s="6" t="s">
        <v>21</v>
      </c>
    </row>
    <row r="2" spans="1:2" s="9" customFormat="1" x14ac:dyDescent="0.35">
      <c r="A2" s="9" t="s">
        <v>357</v>
      </c>
      <c r="B2" s="9" t="s">
        <v>370</v>
      </c>
    </row>
    <row r="3" spans="1:2" s="9" customFormat="1" x14ac:dyDescent="0.35">
      <c r="A3" s="9" t="s">
        <v>358</v>
      </c>
      <c r="B3" s="9" t="s">
        <v>371</v>
      </c>
    </row>
    <row r="4" spans="1:2" s="9" customFormat="1" x14ac:dyDescent="0.35">
      <c r="A4" s="9" t="s">
        <v>359</v>
      </c>
      <c r="B4" s="9" t="s">
        <v>372</v>
      </c>
    </row>
    <row r="5" spans="1:2" s="9" customFormat="1" x14ac:dyDescent="0.35">
      <c r="A5" s="9" t="s">
        <v>360</v>
      </c>
      <c r="B5" s="9" t="s">
        <v>373</v>
      </c>
    </row>
    <row r="6" spans="1:2" s="9" customFormat="1" x14ac:dyDescent="0.35">
      <c r="A6" s="9" t="s">
        <v>361</v>
      </c>
      <c r="B6" s="9" t="s">
        <v>374</v>
      </c>
    </row>
    <row r="7" spans="1:2" s="9" customFormat="1" x14ac:dyDescent="0.35">
      <c r="A7" s="9" t="s">
        <v>362</v>
      </c>
      <c r="B7" s="9" t="s">
        <v>375</v>
      </c>
    </row>
    <row r="8" spans="1:2" x14ac:dyDescent="0.35">
      <c r="A8" t="s">
        <v>328</v>
      </c>
      <c r="B8" s="9" t="s">
        <v>330</v>
      </c>
    </row>
    <row r="9" spans="1:2" x14ac:dyDescent="0.35">
      <c r="A9" t="s">
        <v>327</v>
      </c>
      <c r="B9" s="9" t="s">
        <v>331</v>
      </c>
    </row>
  </sheetData>
  <pageMargins left="0.7" right="0.7" top="0.75" bottom="0.75" header="0.3" footer="0.3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8.81640625" bestFit="1" customWidth="1"/>
    <col min="2" max="2" width="6" bestFit="1" customWidth="1"/>
    <col min="3" max="3" width="12.81640625" bestFit="1" customWidth="1"/>
    <col min="4" max="4" width="34.1796875" bestFit="1" customWidth="1"/>
  </cols>
  <sheetData>
    <row r="1" spans="1:4" s="3" customFormat="1" x14ac:dyDescent="0.35">
      <c r="A1" s="3" t="s">
        <v>25</v>
      </c>
      <c r="B1" s="3" t="s">
        <v>8</v>
      </c>
      <c r="C1" s="3" t="s">
        <v>26</v>
      </c>
      <c r="D1" s="3" t="s">
        <v>27</v>
      </c>
    </row>
    <row r="2" spans="1:4" x14ac:dyDescent="0.35">
      <c r="A2" t="s">
        <v>29</v>
      </c>
      <c r="B2" t="s">
        <v>28</v>
      </c>
      <c r="C2" t="s">
        <v>28</v>
      </c>
      <c r="D2" t="s">
        <v>30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7"/>
  <sheetViews>
    <sheetView workbookViewId="0">
      <pane ySplit="1" topLeftCell="A62" activePane="bottomLeft" state="frozen"/>
      <selection pane="bottomLeft" activeCell="B78" sqref="B78"/>
    </sheetView>
  </sheetViews>
  <sheetFormatPr defaultRowHeight="14.5" x14ac:dyDescent="0.35"/>
  <cols>
    <col min="1" max="1" width="13.7265625" bestFit="1" customWidth="1"/>
    <col min="2" max="2" width="23.1796875" bestFit="1" customWidth="1"/>
    <col min="3" max="3" width="16.7265625" bestFit="1" customWidth="1"/>
  </cols>
  <sheetData>
    <row r="1" spans="1:4" s="2" customFormat="1" x14ac:dyDescent="0.35">
      <c r="A1" s="2" t="s">
        <v>10</v>
      </c>
      <c r="B1" s="2" t="s">
        <v>8</v>
      </c>
      <c r="C1" s="2" t="s">
        <v>15</v>
      </c>
      <c r="D1" s="2" t="s">
        <v>27</v>
      </c>
    </row>
    <row r="2" spans="1:4" x14ac:dyDescent="0.35">
      <c r="A2" t="s">
        <v>264</v>
      </c>
      <c r="B2" t="s">
        <v>97</v>
      </c>
      <c r="C2" t="b">
        <v>0</v>
      </c>
      <c r="D2" t="s">
        <v>281</v>
      </c>
    </row>
    <row r="3" spans="1:4" x14ac:dyDescent="0.35">
      <c r="A3" t="s">
        <v>271</v>
      </c>
      <c r="B3" t="s">
        <v>97</v>
      </c>
      <c r="C3" t="b">
        <v>0</v>
      </c>
    </row>
    <row r="4" spans="1:4" x14ac:dyDescent="0.35">
      <c r="A4" t="s">
        <v>267</v>
      </c>
      <c r="B4" t="s">
        <v>97</v>
      </c>
      <c r="C4" t="b">
        <v>0</v>
      </c>
    </row>
    <row r="5" spans="1:4" x14ac:dyDescent="0.35">
      <c r="A5" t="s">
        <v>259</v>
      </c>
      <c r="B5" t="s">
        <v>42</v>
      </c>
      <c r="C5" t="b">
        <v>0</v>
      </c>
    </row>
    <row r="6" spans="1:4" x14ac:dyDescent="0.35">
      <c r="A6" t="s">
        <v>262</v>
      </c>
      <c r="B6" t="s">
        <v>42</v>
      </c>
      <c r="C6" t="b">
        <v>0</v>
      </c>
    </row>
    <row r="7" spans="1:4" x14ac:dyDescent="0.35">
      <c r="A7" t="s">
        <v>261</v>
      </c>
      <c r="B7" t="s">
        <v>42</v>
      </c>
      <c r="C7" t="b">
        <v>0</v>
      </c>
    </row>
    <row r="8" spans="1:4" x14ac:dyDescent="0.35">
      <c r="A8" t="s">
        <v>260</v>
      </c>
      <c r="B8" t="s">
        <v>42</v>
      </c>
      <c r="C8" t="b">
        <v>0</v>
      </c>
    </row>
    <row r="9" spans="1:4" x14ac:dyDescent="0.35">
      <c r="A9" t="s">
        <v>272</v>
      </c>
      <c r="B9" t="s">
        <v>42</v>
      </c>
      <c r="C9" t="b">
        <v>0</v>
      </c>
    </row>
    <row r="10" spans="1:4" x14ac:dyDescent="0.35">
      <c r="A10" t="s">
        <v>268</v>
      </c>
      <c r="B10" t="s">
        <v>42</v>
      </c>
      <c r="C10" t="b">
        <v>0</v>
      </c>
    </row>
    <row r="11" spans="1:4" x14ac:dyDescent="0.35">
      <c r="A11" t="s">
        <v>263</v>
      </c>
      <c r="B11" t="s">
        <v>42</v>
      </c>
      <c r="C11" t="b">
        <v>0</v>
      </c>
    </row>
    <row r="12" spans="1:4" x14ac:dyDescent="0.35">
      <c r="A12" t="s">
        <v>273</v>
      </c>
      <c r="B12" t="s">
        <v>42</v>
      </c>
      <c r="C12" t="b">
        <v>0</v>
      </c>
    </row>
    <row r="13" spans="1:4" x14ac:dyDescent="0.35">
      <c r="A13" t="s">
        <v>269</v>
      </c>
      <c r="B13" t="s">
        <v>42</v>
      </c>
      <c r="C13" t="b">
        <v>0</v>
      </c>
    </row>
    <row r="14" spans="1:4" x14ac:dyDescent="0.35">
      <c r="A14" t="s">
        <v>265</v>
      </c>
      <c r="B14" t="s">
        <v>29</v>
      </c>
      <c r="C14" t="b">
        <v>0</v>
      </c>
    </row>
    <row r="15" spans="1:4" x14ac:dyDescent="0.35">
      <c r="A15" t="s">
        <v>270</v>
      </c>
      <c r="B15" t="s">
        <v>29</v>
      </c>
      <c r="C15" t="b">
        <v>0</v>
      </c>
    </row>
    <row r="16" spans="1:4" x14ac:dyDescent="0.35">
      <c r="A16" t="s">
        <v>266</v>
      </c>
      <c r="B16" t="s">
        <v>29</v>
      </c>
      <c r="C16" t="b">
        <v>0</v>
      </c>
    </row>
    <row r="17" spans="1:4" x14ac:dyDescent="0.35">
      <c r="A17" t="s">
        <v>168</v>
      </c>
      <c r="B17" t="s">
        <v>95</v>
      </c>
      <c r="C17" t="b">
        <v>0</v>
      </c>
    </row>
    <row r="19" spans="1:4" x14ac:dyDescent="0.35">
      <c r="A19" t="s">
        <v>350</v>
      </c>
      <c r="B19" t="s">
        <v>29</v>
      </c>
      <c r="C19" t="b">
        <v>1</v>
      </c>
      <c r="D19" t="s">
        <v>282</v>
      </c>
    </row>
    <row r="20" spans="1:4" x14ac:dyDescent="0.35">
      <c r="A20" t="s">
        <v>54</v>
      </c>
      <c r="B20" t="s">
        <v>29</v>
      </c>
      <c r="C20" t="b">
        <v>0</v>
      </c>
    </row>
    <row r="21" spans="1:4" x14ac:dyDescent="0.35">
      <c r="A21" t="s">
        <v>117</v>
      </c>
      <c r="B21" t="s">
        <v>46</v>
      </c>
      <c r="C21" t="b">
        <v>0</v>
      </c>
    </row>
    <row r="22" spans="1:4" x14ac:dyDescent="0.35">
      <c r="A22" t="s">
        <v>118</v>
      </c>
      <c r="B22" t="s">
        <v>46</v>
      </c>
      <c r="C22" t="b">
        <v>0</v>
      </c>
    </row>
    <row r="23" spans="1:4" x14ac:dyDescent="0.35">
      <c r="A23" t="s">
        <v>107</v>
      </c>
      <c r="B23" t="s">
        <v>56</v>
      </c>
      <c r="C23" t="b">
        <v>1</v>
      </c>
    </row>
    <row r="24" spans="1:4" x14ac:dyDescent="0.35">
      <c r="A24" t="s">
        <v>93</v>
      </c>
      <c r="B24" t="s">
        <v>56</v>
      </c>
      <c r="C24" t="b">
        <v>0</v>
      </c>
    </row>
    <row r="25" spans="1:4" x14ac:dyDescent="0.35">
      <c r="A25" t="s">
        <v>79</v>
      </c>
      <c r="B25" t="s">
        <v>56</v>
      </c>
      <c r="C25" t="b">
        <v>0</v>
      </c>
    </row>
    <row r="26" spans="1:4" x14ac:dyDescent="0.35">
      <c r="A26" t="s">
        <v>89</v>
      </c>
      <c r="B26" t="s">
        <v>56</v>
      </c>
      <c r="C26" t="b">
        <v>0</v>
      </c>
    </row>
    <row r="27" spans="1:4" x14ac:dyDescent="0.35">
      <c r="A27" t="s">
        <v>74</v>
      </c>
      <c r="B27" t="s">
        <v>41</v>
      </c>
      <c r="C27" t="b">
        <v>0</v>
      </c>
    </row>
    <row r="28" spans="1:4" x14ac:dyDescent="0.35">
      <c r="A28" t="s">
        <v>78</v>
      </c>
      <c r="B28" t="s">
        <v>41</v>
      </c>
      <c r="C28" t="b">
        <v>0</v>
      </c>
    </row>
    <row r="29" spans="1:4" x14ac:dyDescent="0.35">
      <c r="A29" t="s">
        <v>87</v>
      </c>
      <c r="B29" t="s">
        <v>41</v>
      </c>
      <c r="C29" t="b">
        <v>0</v>
      </c>
    </row>
    <row r="30" spans="1:4" x14ac:dyDescent="0.35">
      <c r="A30" t="s">
        <v>72</v>
      </c>
      <c r="B30" t="s">
        <v>137</v>
      </c>
      <c r="C30" t="b">
        <v>0</v>
      </c>
    </row>
    <row r="31" spans="1:4" x14ac:dyDescent="0.35">
      <c r="A31" t="s">
        <v>184</v>
      </c>
      <c r="B31" t="s">
        <v>56</v>
      </c>
      <c r="C31" t="b">
        <v>1</v>
      </c>
    </row>
    <row r="32" spans="1:4" x14ac:dyDescent="0.35">
      <c r="A32" t="s">
        <v>80</v>
      </c>
      <c r="B32" t="s">
        <v>137</v>
      </c>
      <c r="C32" t="b">
        <v>0</v>
      </c>
    </row>
    <row r="33" spans="1:3" x14ac:dyDescent="0.35">
      <c r="A33" t="s">
        <v>207</v>
      </c>
      <c r="B33" t="s">
        <v>56</v>
      </c>
      <c r="C33" t="b">
        <v>1</v>
      </c>
    </row>
    <row r="34" spans="1:3" x14ac:dyDescent="0.35">
      <c r="A34" t="s">
        <v>86</v>
      </c>
      <c r="B34" t="s">
        <v>137</v>
      </c>
      <c r="C34" t="b">
        <v>0</v>
      </c>
    </row>
    <row r="35" spans="1:3" x14ac:dyDescent="0.35">
      <c r="A35" t="s">
        <v>224</v>
      </c>
      <c r="B35" t="s">
        <v>56</v>
      </c>
      <c r="C35" t="b">
        <v>1</v>
      </c>
    </row>
    <row r="36" spans="1:3" x14ac:dyDescent="0.35">
      <c r="A36" t="s">
        <v>69</v>
      </c>
      <c r="B36" t="s">
        <v>68</v>
      </c>
      <c r="C36" t="b">
        <v>0</v>
      </c>
    </row>
    <row r="37" spans="1:3" x14ac:dyDescent="0.35">
      <c r="A37" t="s">
        <v>77</v>
      </c>
      <c r="B37" t="s">
        <v>68</v>
      </c>
      <c r="C37" t="b">
        <v>0</v>
      </c>
    </row>
    <row r="38" spans="1:3" x14ac:dyDescent="0.35">
      <c r="A38" t="s">
        <v>84</v>
      </c>
      <c r="B38" t="s">
        <v>68</v>
      </c>
      <c r="C38" t="b">
        <v>0</v>
      </c>
    </row>
    <row r="39" spans="1:3" x14ac:dyDescent="0.35">
      <c r="A39" t="s">
        <v>75</v>
      </c>
      <c r="B39" t="s">
        <v>46</v>
      </c>
      <c r="C39" t="b">
        <v>0</v>
      </c>
    </row>
    <row r="40" spans="1:3" x14ac:dyDescent="0.35">
      <c r="A40" t="s">
        <v>94</v>
      </c>
      <c r="B40" t="s">
        <v>46</v>
      </c>
      <c r="C40" t="b">
        <v>0</v>
      </c>
    </row>
    <row r="41" spans="1:3" x14ac:dyDescent="0.35">
      <c r="A41" t="s">
        <v>88</v>
      </c>
      <c r="B41" t="s">
        <v>46</v>
      </c>
      <c r="C41" t="b">
        <v>0</v>
      </c>
    </row>
    <row r="42" spans="1:3" x14ac:dyDescent="0.35">
      <c r="A42" t="s">
        <v>122</v>
      </c>
      <c r="B42" t="s">
        <v>42</v>
      </c>
      <c r="C42" t="b">
        <v>0</v>
      </c>
    </row>
    <row r="43" spans="1:3" x14ac:dyDescent="0.35">
      <c r="A43" t="s">
        <v>76</v>
      </c>
      <c r="B43" t="s">
        <v>42</v>
      </c>
      <c r="C43" t="b">
        <v>0</v>
      </c>
    </row>
    <row r="44" spans="1:3" x14ac:dyDescent="0.35">
      <c r="A44" t="s">
        <v>82</v>
      </c>
      <c r="B44" t="s">
        <v>42</v>
      </c>
      <c r="C44" t="b">
        <v>0</v>
      </c>
    </row>
    <row r="45" spans="1:3" x14ac:dyDescent="0.35">
      <c r="A45" t="s">
        <v>123</v>
      </c>
      <c r="B45" t="s">
        <v>42</v>
      </c>
      <c r="C45" t="b">
        <v>0</v>
      </c>
    </row>
    <row r="46" spans="1:3" x14ac:dyDescent="0.35">
      <c r="A46" t="s">
        <v>47</v>
      </c>
      <c r="B46" t="s">
        <v>97</v>
      </c>
      <c r="C46" t="b">
        <v>0</v>
      </c>
    </row>
    <row r="47" spans="1:3" x14ac:dyDescent="0.35">
      <c r="A47" t="s">
        <v>144</v>
      </c>
      <c r="B47" t="s">
        <v>41</v>
      </c>
      <c r="C47" t="b">
        <v>0</v>
      </c>
    </row>
    <row r="48" spans="1:3" x14ac:dyDescent="0.35">
      <c r="A48" t="s">
        <v>90</v>
      </c>
      <c r="B48" t="s">
        <v>42</v>
      </c>
      <c r="C48" t="b">
        <v>0</v>
      </c>
    </row>
    <row r="49" spans="1:4" x14ac:dyDescent="0.35">
      <c r="A49" t="s">
        <v>139</v>
      </c>
      <c r="B49" t="s">
        <v>137</v>
      </c>
      <c r="C49" t="b">
        <v>0</v>
      </c>
    </row>
    <row r="50" spans="1:4" x14ac:dyDescent="0.35">
      <c r="A50" t="s">
        <v>181</v>
      </c>
      <c r="B50" t="s">
        <v>137</v>
      </c>
      <c r="C50" t="b">
        <v>1</v>
      </c>
    </row>
    <row r="51" spans="1:4" x14ac:dyDescent="0.35">
      <c r="A51" t="s">
        <v>202</v>
      </c>
      <c r="B51" t="s">
        <v>137</v>
      </c>
      <c r="C51" t="b">
        <v>1</v>
      </c>
    </row>
    <row r="52" spans="1:4" x14ac:dyDescent="0.35">
      <c r="A52" t="s">
        <v>218</v>
      </c>
      <c r="B52" t="s">
        <v>137</v>
      </c>
      <c r="C52" t="b">
        <v>1</v>
      </c>
    </row>
    <row r="53" spans="1:4" x14ac:dyDescent="0.35">
      <c r="A53" t="s">
        <v>142</v>
      </c>
      <c r="B53" t="s">
        <v>41</v>
      </c>
      <c r="C53" t="b">
        <v>0</v>
      </c>
    </row>
    <row r="54" spans="1:4" x14ac:dyDescent="0.35">
      <c r="A54" t="s">
        <v>55</v>
      </c>
      <c r="B54" t="s">
        <v>42</v>
      </c>
      <c r="C54" t="b">
        <v>0</v>
      </c>
    </row>
    <row r="55" spans="1:4" x14ac:dyDescent="0.35">
      <c r="A55" t="s">
        <v>66</v>
      </c>
      <c r="B55" t="s">
        <v>41</v>
      </c>
      <c r="C55" t="b">
        <v>0</v>
      </c>
    </row>
    <row r="56" spans="1:4" x14ac:dyDescent="0.35">
      <c r="A56" t="s">
        <v>58</v>
      </c>
      <c r="B56" t="s">
        <v>56</v>
      </c>
      <c r="C56" t="b">
        <v>0</v>
      </c>
    </row>
    <row r="57" spans="1:4" x14ac:dyDescent="0.35">
      <c r="A57" t="s">
        <v>52</v>
      </c>
      <c r="B57" t="s">
        <v>42</v>
      </c>
      <c r="C57" t="b">
        <v>0</v>
      </c>
    </row>
    <row r="59" spans="1:4" x14ac:dyDescent="0.35">
      <c r="A59" t="s">
        <v>309</v>
      </c>
      <c r="B59" t="s">
        <v>46</v>
      </c>
      <c r="C59" t="b">
        <v>1</v>
      </c>
      <c r="D59" t="s">
        <v>284</v>
      </c>
    </row>
    <row r="60" spans="1:4" x14ac:dyDescent="0.35">
      <c r="A60" t="s">
        <v>310</v>
      </c>
      <c r="B60" t="s">
        <v>46</v>
      </c>
      <c r="C60" t="b">
        <v>1</v>
      </c>
    </row>
    <row r="61" spans="1:4" x14ac:dyDescent="0.35">
      <c r="A61" t="s">
        <v>308</v>
      </c>
      <c r="B61" t="s">
        <v>46</v>
      </c>
      <c r="C61" t="b">
        <v>1</v>
      </c>
    </row>
    <row r="62" spans="1:4" x14ac:dyDescent="0.35">
      <c r="A62" t="s">
        <v>285</v>
      </c>
      <c r="B62" t="s">
        <v>29</v>
      </c>
      <c r="C62" t="b">
        <v>0</v>
      </c>
    </row>
    <row r="63" spans="1:4" x14ac:dyDescent="0.35">
      <c r="A63" t="s">
        <v>111</v>
      </c>
      <c r="B63" t="s">
        <v>29</v>
      </c>
      <c r="C63" t="b">
        <v>0</v>
      </c>
    </row>
    <row r="64" spans="1:4" x14ac:dyDescent="0.35">
      <c r="A64" t="s">
        <v>283</v>
      </c>
      <c r="B64" t="s">
        <v>46</v>
      </c>
      <c r="C64" t="b">
        <v>0</v>
      </c>
    </row>
    <row r="65" spans="1:3" x14ac:dyDescent="0.35">
      <c r="A65" t="s">
        <v>295</v>
      </c>
      <c r="B65" t="s">
        <v>46</v>
      </c>
      <c r="C65" t="b">
        <v>0</v>
      </c>
    </row>
    <row r="66" spans="1:3" x14ac:dyDescent="0.35">
      <c r="A66" t="s">
        <v>296</v>
      </c>
      <c r="B66" t="s">
        <v>46</v>
      </c>
      <c r="C66" t="b">
        <v>0</v>
      </c>
    </row>
    <row r="67" spans="1:3" x14ac:dyDescent="0.35">
      <c r="A67" t="s">
        <v>294</v>
      </c>
      <c r="B67" t="s">
        <v>41</v>
      </c>
      <c r="C67" t="b">
        <v>0</v>
      </c>
    </row>
    <row r="68" spans="1:3" x14ac:dyDescent="0.35">
      <c r="A68" t="s">
        <v>286</v>
      </c>
      <c r="B68" t="s">
        <v>41</v>
      </c>
      <c r="C68" t="b">
        <v>0</v>
      </c>
    </row>
    <row r="69" spans="1:3" x14ac:dyDescent="0.35">
      <c r="A69" t="s">
        <v>340</v>
      </c>
      <c r="B69" t="s">
        <v>41</v>
      </c>
      <c r="C69" t="b">
        <v>0</v>
      </c>
    </row>
    <row r="70" spans="1:3" x14ac:dyDescent="0.35">
      <c r="A70" t="s">
        <v>287</v>
      </c>
      <c r="B70" t="s">
        <v>41</v>
      </c>
      <c r="C70" t="b">
        <v>0</v>
      </c>
    </row>
    <row r="71" spans="1:3" x14ac:dyDescent="0.35">
      <c r="A71" t="s">
        <v>288</v>
      </c>
      <c r="B71" t="s">
        <v>42</v>
      </c>
      <c r="C71" t="b">
        <v>0</v>
      </c>
    </row>
    <row r="72" spans="1:3" x14ac:dyDescent="0.35">
      <c r="A72" t="s">
        <v>367</v>
      </c>
      <c r="B72" t="s">
        <v>41</v>
      </c>
      <c r="C72" t="b">
        <v>0</v>
      </c>
    </row>
    <row r="73" spans="1:3" x14ac:dyDescent="0.35">
      <c r="A73" t="s">
        <v>368</v>
      </c>
      <c r="B73" t="s">
        <v>41</v>
      </c>
      <c r="C73" t="b">
        <v>0</v>
      </c>
    </row>
    <row r="74" spans="1:3" x14ac:dyDescent="0.35">
      <c r="A74" t="s">
        <v>369</v>
      </c>
      <c r="B74" t="s">
        <v>41</v>
      </c>
      <c r="C74" t="b">
        <v>0</v>
      </c>
    </row>
    <row r="75" spans="1:3" x14ac:dyDescent="0.35">
      <c r="A75" t="s">
        <v>256</v>
      </c>
      <c r="B75" t="s">
        <v>46</v>
      </c>
      <c r="C75" t="b">
        <v>0</v>
      </c>
    </row>
    <row r="76" spans="1:3" x14ac:dyDescent="0.35">
      <c r="A76" t="s">
        <v>257</v>
      </c>
      <c r="B76" t="s">
        <v>46</v>
      </c>
      <c r="C76" t="b">
        <v>0</v>
      </c>
    </row>
    <row r="77" spans="1:3" x14ac:dyDescent="0.35">
      <c r="A77" t="s">
        <v>258</v>
      </c>
      <c r="B77" t="s">
        <v>46</v>
      </c>
      <c r="C77" t="b">
        <v>0</v>
      </c>
    </row>
  </sheetData>
  <sortState xmlns:xlrd2="http://schemas.microsoft.com/office/spreadsheetml/2017/richdata2" ref="A59:C77">
    <sortCondition ref="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survey</vt:lpstr>
      <vt:lpstr>FU</vt:lpstr>
      <vt:lpstr>queries</vt:lpstr>
      <vt:lpstr>choices</vt:lpstr>
      <vt:lpstr>calculates</vt:lpstr>
      <vt:lpstr>prompt_types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 Fisker</cp:lastModifiedBy>
  <dcterms:created xsi:type="dcterms:W3CDTF">2015-06-05T18:19:34Z</dcterms:created>
  <dcterms:modified xsi:type="dcterms:W3CDTF">2026-07-31T18:33:27Z</dcterms:modified>
</cp:coreProperties>
</file>