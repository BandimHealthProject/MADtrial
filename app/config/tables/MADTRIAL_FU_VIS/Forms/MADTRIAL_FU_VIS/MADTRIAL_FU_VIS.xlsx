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ettings" sheetId="1" state="visible" r:id="rId1"/>
    <sheet name="survey" sheetId="2" state="visible" r:id="rId2"/>
    <sheet name="FU" sheetId="3" state="visible" r:id="rId3"/>
    <sheet name="choices" sheetId="4" state="visible" r:id="rId4"/>
    <sheet name="calculates" sheetId="5" state="visible" r:id="rId5"/>
    <sheet name="queries" sheetId="6" state="visible" r:id="rId6"/>
    <sheet name="prompt_types" sheetId="7" state="visible" r:id="rId7"/>
    <sheet name="model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<sst xmlns="http://schemas.openxmlformats.org/spreadsheetml/2006/main" count="540" uniqueCount="540">
  <si>
    <t>setting_name</t>
  </si>
  <si>
    <t>value</t>
  </si>
  <si>
    <t>display.title.text.english</t>
  </si>
  <si>
    <t>display.title.text</t>
  </si>
  <si>
    <t>display.locale.text.english</t>
  </si>
  <si>
    <t>display.locale.text</t>
  </si>
  <si>
    <t>form_id</t>
  </si>
  <si>
    <t>MADTRIAL_FU_VIS</t>
  </si>
  <si>
    <t>form_version</t>
  </si>
  <si>
    <t>table_id</t>
  </si>
  <si>
    <t>survey</t>
  </si>
  <si>
    <t xml:space="preserve">MADtrial - Follow-up Visit</t>
  </si>
  <si>
    <t xml:space="preserve">MADtrial - Seguimento Visita</t>
  </si>
  <si>
    <t>default</t>
  </si>
  <si>
    <t>Portuguese</t>
  </si>
  <si>
    <t>Português</t>
  </si>
  <si>
    <t>english</t>
  </si>
  <si>
    <t>English</t>
  </si>
  <si>
    <t>Inglês</t>
  </si>
  <si>
    <t>font-size</t>
  </si>
  <si>
    <t>20pt</t>
  </si>
  <si>
    <t>branch_label</t>
  </si>
  <si>
    <t>clause</t>
  </si>
  <si>
    <t>condition</t>
  </si>
  <si>
    <t>type</t>
  </si>
  <si>
    <t>values_list</t>
  </si>
  <si>
    <t>name</t>
  </si>
  <si>
    <t>display.prompt.text.english</t>
  </si>
  <si>
    <t>display.prompt.text</t>
  </si>
  <si>
    <t>calculation</t>
  </si>
  <si>
    <t>display.hint.text.english</t>
  </si>
  <si>
    <t>display.hint.text</t>
  </si>
  <si>
    <t>display.adate.helperText</t>
  </si>
  <si>
    <t>inputAttributes.type</t>
  </si>
  <si>
    <t xml:space="preserve">3rd try</t>
  </si>
  <si>
    <t>if</t>
  </si>
  <si>
    <t xml:space="preserve">(data('CHAMADA12') != null || data('CHAMADA22') != null || data('CHAMADA32') != null) &amp;&amp; data('DATSEGUI2') != null</t>
  </si>
  <si>
    <t xml:space="preserve">begin screen</t>
  </si>
  <si>
    <t>assign</t>
  </si>
  <si>
    <t>START</t>
  </si>
  <si>
    <t>now()</t>
  </si>
  <si>
    <t>select_one_with_other</t>
  </si>
  <si>
    <t>ass</t>
  </si>
  <si>
    <t>ASSISTENTE3</t>
  </si>
  <si>
    <t>Assistant</t>
  </si>
  <si>
    <t>Assistente</t>
  </si>
  <si>
    <t>DATSEGUI3</t>
  </si>
  <si>
    <t>adate.today()</t>
  </si>
  <si>
    <t>adate</t>
  </si>
  <si>
    <t xml:space="preserve">Date of call</t>
  </si>
  <si>
    <t xml:space="preserve">Data da ligação</t>
  </si>
  <si>
    <t xml:space="preserve">end screen</t>
  </si>
  <si>
    <t xml:space="preserve">end if</t>
  </si>
  <si>
    <t xml:space="preserve">2nd try</t>
  </si>
  <si>
    <t xml:space="preserve">(data('CHAMADA11') != null || data('CHAMADA21') != null || data('CHAMADA31') != null) &amp;&amp; data('CHAMADA13') == null &amp;&amp; data('CHAMADA23') == null &amp;&amp; data('CHAMADA33') == null &amp;&amp; data('DATSEGUI1') != null &amp;&amp; data('DATSEGUI3') == null</t>
  </si>
  <si>
    <t>ASSISTENTE2</t>
  </si>
  <si>
    <t>DATSEGUI2</t>
  </si>
  <si>
    <t xml:space="preserve">1st try</t>
  </si>
  <si>
    <t xml:space="preserve">data('CHAMADA11') == null &amp;&amp; data('CHAMADA21') == null &amp;&amp; data('CHAMADA31') == null &amp;&amp; data('CHAMADA12') == null &amp;&amp; data('CHAMADA22') == null &amp;&amp; data('CHAMADA32') == null &amp;&amp; data('CHAMADA13') == null &amp;&amp; data('CHAMADA23') == null &amp;&amp; data('CHAMADA33') == null</t>
  </si>
  <si>
    <t>ASSISTENTE1</t>
  </si>
  <si>
    <t>DATSEGUI1</t>
  </si>
  <si>
    <t xml:space="preserve">(data('CHAMADA11') != null || data('CHAMADA21') != null || data('CHAMADA31') != null) &amp;&amp; (data('CHAMADA12') != null || data('CHAMADA22') != null || data('CHAMADA32') != null)  &amp;&amp; data('DATSEGUI2') != data('DATSEGUI3') &amp;&amp; data('DATSEGUI2') != null</t>
  </si>
  <si>
    <t>select_one</t>
  </si>
  <si>
    <t>cham</t>
  </si>
  <si>
    <t>CHAMADA13</t>
  </si>
  <si>
    <t xml:space="preserve">1st call - number: &lt;b&gt;{{data.TELEMOVEL1}}&lt;/b&gt;
Relation: &lt;b&gt;{{calculates.relation1}}&lt;/b&gt;</t>
  </si>
  <si>
    <t xml:space="preserve">1ª chamada - número: &lt;b&gt;{{data.TELEMOVEL1}}&lt;/b&gt; &lt;br /&gt;
Relação: &lt;b&gt;{{calculates.relationPU1}}&lt;/b&gt;</t>
  </si>
  <si>
    <t xml:space="preserve">If you cannot get information on the first call, call each number three times</t>
  </si>
  <si>
    <t xml:space="preserve">Se você não consegue obter informação na primeira chamada, liga cada número tres vezes</t>
  </si>
  <si>
    <t xml:space="preserve">data('CHAMADA11') == '4' || data('CHAMADA12') == '4'</t>
  </si>
  <si>
    <t>note</t>
  </si>
  <si>
    <t xml:space="preserve">&lt;font color = "red"&gt;Previous calls said this number is incorrect &lt;/font&gt;</t>
  </si>
  <si>
    <t xml:space="preserve">&lt;font color = "red"&gt;As chamadas anteriores informaram que este número está incorreto &lt;/font&gt;</t>
  </si>
  <si>
    <t xml:space="preserve">Name: &lt;b&gt;{{data.NOMECRI}}&lt;/b&gt;</t>
  </si>
  <si>
    <t xml:space="preserve">Nome: &lt;b&gt;{{data.NOMECRI}}&lt;/b&gt;</t>
  </si>
  <si>
    <t xml:space="preserve">data('SEX') =='1'</t>
  </si>
  <si>
    <t xml:space="preserve">Sex: &lt;b&gt;Male&lt;/b&gt;</t>
  </si>
  <si>
    <t xml:space="preserve">Sexo: &lt;b&gt;Masculino&lt;/b&gt;</t>
  </si>
  <si>
    <t>else</t>
  </si>
  <si>
    <t xml:space="preserve">Sex: &lt;b&gt;Female&lt;/b&gt;</t>
  </si>
  <si>
    <t xml:space="preserve">Sexo: &lt;b&gt;Feminino&lt;/b&gt;</t>
  </si>
  <si>
    <t xml:space="preserve">data('DOB') == 'D:NS,M:NS,Y:NS'</t>
  </si>
  <si>
    <t xml:space="preserve">Age: &lt;b&gt;{{data.IDADEANO}}&lt;/b&gt; year(s), &lt;b&gt;{{data.IDADEMES}}&lt;/b&gt; month(s)</t>
  </si>
  <si>
    <t xml:space="preserve">Idade: &lt;b&gt;{{data.IDADEANO}}&lt;/b&gt; ano(s), &lt;b&gt;{{data.IDADEMES}}&lt;/b&gt; mes(es) </t>
  </si>
  <si>
    <t xml:space="preserve">Birthdate: &lt;b&gt;{{calculates.displayDOB}}&lt;/b&gt;</t>
  </si>
  <si>
    <t xml:space="preserve">Data de nascimento: &lt;b&gt;{{calculates.displayDOB}}&lt;/b&gt;</t>
  </si>
  <si>
    <t xml:space="preserve">Inclusion: &lt;b&gt;{{calculates.displayDATINC}}&lt;/b&gt;</t>
  </si>
  <si>
    <t xml:space="preserve">Inclusão: &lt;b&gt;{{calculates.displayDATINC}}&lt;/b&gt;</t>
  </si>
  <si>
    <t xml:space="preserve">Name of mother: &lt;b&gt;{{data.NOMEMAE}}&lt;/b&gt;</t>
  </si>
  <si>
    <t xml:space="preserve">Nome da mãe: &lt;b&gt;{{data.NOMEMAE}}&lt;/b&gt;</t>
  </si>
  <si>
    <t xml:space="preserve">Study no.: &lt;b&gt;{{data.NUMEST}}&lt;/b&gt;</t>
  </si>
  <si>
    <t xml:space="preserve">Estudo nº: &lt;b&gt;{{data.NUMEST}}&lt;/b&gt;</t>
  </si>
  <si>
    <t>datsegui</t>
  </si>
  <si>
    <t>data('DATSEGUI3')</t>
  </si>
  <si>
    <t xml:space="preserve">data('CHAMADA13') != '1'</t>
  </si>
  <si>
    <t xml:space="preserve">data('TELEINF2') == '3'</t>
  </si>
  <si>
    <t xml:space="preserve">2nd call - number: &lt;b&gt;Don't have&lt;/b&gt;</t>
  </si>
  <si>
    <t xml:space="preserve">2ª chamada - número: &lt;b&gt;Não tem&lt;/b&gt; </t>
  </si>
  <si>
    <t>CHAMADA23</t>
  </si>
  <si>
    <t xml:space="preserve">2nd call - number: &lt;b&gt;{{data.TELEMOVEL2}}&lt;/b&gt;
Relation: &lt;b&gt;{{calculates.relation2}}&lt;/b&gt;</t>
  </si>
  <si>
    <t xml:space="preserve">2ª chamada - número: &lt;b&gt;{{data.TELEMOVEL2}}&lt;/b&gt; &lt;br /&gt;
Relação: &lt;b&gt;{{calculates.relationPU2}}&lt;/b&gt;</t>
  </si>
  <si>
    <t xml:space="preserve">data('CHAMADA21') == '4' || data('CHAMADA22') == '4'</t>
  </si>
  <si>
    <t xml:space="preserve">data('CHAMADA23') != '1'</t>
  </si>
  <si>
    <t xml:space="preserve">data('TELEINF3') == '3'</t>
  </si>
  <si>
    <t xml:space="preserve">3rd call - number: &lt;b&gt;Don't have&lt;/b&gt;</t>
  </si>
  <si>
    <t xml:space="preserve">3ª chamada - número: &lt;b&gt;Não tem&lt;/b&gt; </t>
  </si>
  <si>
    <t>CHAMADA33</t>
  </si>
  <si>
    <t xml:space="preserve">3rd call - number: &lt;b&gt;{{data.TELEMOVEL3}}&lt;/b&gt;
Relation: &lt;b&gt;{{calculates.relation3}}&lt;/b&gt;</t>
  </si>
  <si>
    <t xml:space="preserve">3ª chamada - número: &lt;b&gt;{{data.TELEMOVEL3}}&lt;/b&gt; &lt;br /&gt;
Relação: &lt;b&gt;{{calculates.relationPU3}}&lt;/b&gt;</t>
  </si>
  <si>
    <t xml:space="preserve">data('CHAMADA31') == '4' || data('CHAMADA32') == '4'</t>
  </si>
  <si>
    <t xml:space="preserve">((data('CHAMADA11') != null || data('CHAMADA21') != null || data('CHAMADA31') != null) &amp;&amp; data('CHAMADA13') == null &amp;&amp; data('CHAMADA23') == null &amp;&amp; data('CHAMADA33') == null &amp;&amp; data('DATSEGUI2') != data('DATSEGUI1')) ||  (data('DATSEGUI3') == data('DATSEGUI2') &amp;&amp; data('DATSEGUI3') != null)</t>
  </si>
  <si>
    <t>CHAMADA12</t>
  </si>
  <si>
    <t xml:space="preserve">data('CHAMADA11') == '4'</t>
  </si>
  <si>
    <t>data('DATSEGUI2')</t>
  </si>
  <si>
    <t xml:space="preserve">data('CHAMADA12') != '1'</t>
  </si>
  <si>
    <t>CHAMADA22</t>
  </si>
  <si>
    <t xml:space="preserve">data('CHAMADA21') == '4'</t>
  </si>
  <si>
    <t xml:space="preserve">data('CHAMADA22') != '1'</t>
  </si>
  <si>
    <t>CHAMADA32</t>
  </si>
  <si>
    <t xml:space="preserve">data('CHAMADA31') == '4'</t>
  </si>
  <si>
    <t xml:space="preserve">data('CHAMADA12') == null &amp;&amp; data('CHAMADA22') == null &amp;&amp; data('CHAMADA32') == null &amp;&amp; data('CHAMADA13') == null &amp;&amp; data('CHAMADA23') == null &amp;&amp; data('CHAMADA33') == null || (data('DATSEGUI3') == data('DATSEGUI1')) || (data('DATSEGUI2') == data('DATSEGUI1'))</t>
  </si>
  <si>
    <t>CHAMADA11</t>
  </si>
  <si>
    <t xml:space="preserve">data('chamada1') == '4'</t>
  </si>
  <si>
    <t>data('DATSEGUI1')</t>
  </si>
  <si>
    <t xml:space="preserve">data('CHAMADA11') != '1'</t>
  </si>
  <si>
    <t>CHAMADA21</t>
  </si>
  <si>
    <t xml:space="preserve">data('chamada2') == '4'</t>
  </si>
  <si>
    <t xml:space="preserve">data('CHAMADA21') != '1'</t>
  </si>
  <si>
    <t>CHAMADA31</t>
  </si>
  <si>
    <t xml:space="preserve">data('chamada3') == '4'</t>
  </si>
  <si>
    <t xml:space="preserve">data('CHAMADA11') == '1' || data('CHAMADA21') == '1' || data('CHAMADA31') == '1' || data('CHAMADA12') == '1' || data('CHAMADA22') == '1' || data('CHAMADA32') == '1' ||data('CHAMADA13') == '1' || data('CHAMADA23') == '1' || data('CHAMADA33') == '1'</t>
  </si>
  <si>
    <t xml:space="preserve">do section FU</t>
  </si>
  <si>
    <t>constraint</t>
  </si>
  <si>
    <t>display.constraint_message.text.english</t>
  </si>
  <si>
    <t>display.constraint_message.text</t>
  </si>
  <si>
    <t>choice_filter</t>
  </si>
  <si>
    <t>interval</t>
  </si>
  <si>
    <t>adate.diffInDays(data('LASTFUSUC'),data('datasegui'))</t>
  </si>
  <si>
    <t>inf</t>
  </si>
  <si>
    <t>INFORMADOR</t>
  </si>
  <si>
    <t>Informant</t>
  </si>
  <si>
    <t>Informador</t>
  </si>
  <si>
    <t>sim/nao/naosabe</t>
  </si>
  <si>
    <t>VITALCRI</t>
  </si>
  <si>
    <t xml:space="preserve">Is the child still alive?</t>
  </si>
  <si>
    <t xml:space="preserve">A criança ainda está viva?</t>
  </si>
  <si>
    <t>data('VITALCRI')=="2"</t>
  </si>
  <si>
    <t>DOD</t>
  </si>
  <si>
    <t xml:space="preserve">Date of death</t>
  </si>
  <si>
    <t xml:space="preserve">Data do falecimento</t>
  </si>
  <si>
    <t xml:space="preserve">adate.diffInDays(data('datsegui'), data('DOD'))&lt;1 || adate.hasUncertainty(data('DOD'))</t>
  </si>
  <si>
    <t xml:space="preserve">The date cannot be in the future:</t>
  </si>
  <si>
    <t xml:space="preserve">A data não pode estar no futuro:</t>
  </si>
  <si>
    <t>select_multiple</t>
  </si>
  <si>
    <t>ns</t>
  </si>
  <si>
    <t>dodns</t>
  </si>
  <si>
    <t xml:space="preserve">data('dodns') != null</t>
  </si>
  <si>
    <t>"D:NS,M:NS,Y:NS"</t>
  </si>
  <si>
    <t>data('DOD')=="D:NS,M:NS,Y:NS"</t>
  </si>
  <si>
    <t>integer</t>
  </si>
  <si>
    <t>DODANO</t>
  </si>
  <si>
    <t xml:space="preserve">Age year(s)</t>
  </si>
  <si>
    <t xml:space="preserve">Idade - ano(s)</t>
  </si>
  <si>
    <t>DODMES</t>
  </si>
  <si>
    <t xml:space="preserve">Age - month(s)</t>
  </si>
  <si>
    <t xml:space="preserve">Idade - mes(es)</t>
  </si>
  <si>
    <t xml:space="preserve">data('IDADEMES')&lt;13 || data('DOB')!="D:NS,M:NS,Y:NS"</t>
  </si>
  <si>
    <t xml:space="preserve">Must be less than 13:</t>
  </si>
  <si>
    <t xml:space="preserve">Deve ser menor que 13:</t>
  </si>
  <si>
    <t xml:space="preserve">begin screen </t>
  </si>
  <si>
    <t xml:space="preserve">Last visit: &lt;b&gt;{{calculates.displayLASTFUSUC}}&lt;/b&gt;</t>
  </si>
  <si>
    <t xml:space="preserve">Última visita: &lt;b&gt;{{calculates.displayLASTFUSUC}}&lt;/b&gt;</t>
  </si>
  <si>
    <t xml:space="preserve">select_one </t>
  </si>
  <si>
    <t>DIARREIA</t>
  </si>
  <si>
    <t xml:space="preserve">Has the chil had diarrhoea?</t>
  </si>
  <si>
    <t xml:space="preserve">A criança teve diarréia?</t>
  </si>
  <si>
    <t>data('DIARREIA')=='1'</t>
  </si>
  <si>
    <t>dias_csv</t>
  </si>
  <si>
    <t>DIARREIDIA</t>
  </si>
  <si>
    <t xml:space="preserve">On which day?</t>
  </si>
  <si>
    <t xml:space="preserve">Em qual dia?</t>
  </si>
  <si>
    <t xml:space="preserve">choice_item.INTERVAL == data('interval')</t>
  </si>
  <si>
    <t>VOMITO</t>
  </si>
  <si>
    <t xml:space="preserve">Has the child been vomiting?</t>
  </si>
  <si>
    <t xml:space="preserve">A criança vomitou?</t>
  </si>
  <si>
    <t>data('VOMITO')=='1'</t>
  </si>
  <si>
    <t>VOMITODIA</t>
  </si>
  <si>
    <t>TOSSE</t>
  </si>
  <si>
    <t xml:space="preserve">Has the child been coughing?</t>
  </si>
  <si>
    <t xml:space="preserve">A criança teve tosse?</t>
  </si>
  <si>
    <t>data('TOSSE')=='1'</t>
  </si>
  <si>
    <t xml:space="preserve">select_multiple </t>
  </si>
  <si>
    <t>TOSSEDIA</t>
  </si>
  <si>
    <t>CONSTIP</t>
  </si>
  <si>
    <t xml:space="preserve">Does the child have a cold?</t>
  </si>
  <si>
    <t xml:space="preserve">A criança está com constipação?</t>
  </si>
  <si>
    <t>data('CONSTIP')=='1'</t>
  </si>
  <si>
    <t>CONSTIPDIA</t>
  </si>
  <si>
    <t>PERAPPE</t>
  </si>
  <si>
    <t xml:space="preserve">Has the child lost ist appetite?</t>
  </si>
  <si>
    <t xml:space="preserve">A criança perdeu o seu apetite?</t>
  </si>
  <si>
    <t>data('PERAPPE')=='1'</t>
  </si>
  <si>
    <t>PERAPPEDIA</t>
  </si>
  <si>
    <t>CHOROU</t>
  </si>
  <si>
    <t xml:space="preserve">Has the child cried more than habitual?</t>
  </si>
  <si>
    <t xml:space="preserve">A criança chorou mais do que o habitual?</t>
  </si>
  <si>
    <t>data('CHOROU')=='1'</t>
  </si>
  <si>
    <t>CHOROUDIA</t>
  </si>
  <si>
    <t>FEBRE</t>
  </si>
  <si>
    <t xml:space="preserve">Has the child had fever?</t>
  </si>
  <si>
    <t xml:space="preserve">A criança teve febre?</t>
  </si>
  <si>
    <t>data('FEBRE')=='1'</t>
  </si>
  <si>
    <t>FEBREDIA</t>
  </si>
  <si>
    <t>CONVULSAO</t>
  </si>
  <si>
    <t xml:space="preserve">Has the child had convulsions?</t>
  </si>
  <si>
    <t xml:space="preserve">A criança teve convulsões (desmaio)?</t>
  </si>
  <si>
    <t>data('CONVULSAO')=='1'</t>
  </si>
  <si>
    <t>CONVULSAODIA</t>
  </si>
  <si>
    <t>OUTROSIMP</t>
  </si>
  <si>
    <t xml:space="preserve">Has the child had other symptoms?</t>
  </si>
  <si>
    <t xml:space="preserve">A criança teve outras sintomas?</t>
  </si>
  <si>
    <t>data('OUTROSIMP')=='1'</t>
  </si>
  <si>
    <t>text</t>
  </si>
  <si>
    <t>SIMPQUAL</t>
  </si>
  <si>
    <t xml:space="preserve">Which symptoms?</t>
  </si>
  <si>
    <t xml:space="preserve">Quais sintomas?</t>
  </si>
  <si>
    <t>OUTROSIMPDIA</t>
  </si>
  <si>
    <t>CONSULTA</t>
  </si>
  <si>
    <t xml:space="preserve">Has the child been brought for consultation?</t>
  </si>
  <si>
    <t xml:space="preserve">A criança foi levada para consulta?</t>
  </si>
  <si>
    <t>data('CONSULTA')=='1'</t>
  </si>
  <si>
    <t>CONSULTADIA</t>
  </si>
  <si>
    <t>CONSCAUSA</t>
  </si>
  <si>
    <t xml:space="preserve">What was the cause of consultation?</t>
  </si>
  <si>
    <t xml:space="preserve">Qual foi a causa da consulta?</t>
  </si>
  <si>
    <t>sim/nao</t>
  </si>
  <si>
    <t>CONSDOC</t>
  </si>
  <si>
    <t xml:space="preserve">Can the mother show any documentation?</t>
  </si>
  <si>
    <t xml:space="preserve">A mãe pode mostrar alguma documentação?</t>
  </si>
  <si>
    <t>MEDICIN</t>
  </si>
  <si>
    <t xml:space="preserve">Has the child received medicine?</t>
  </si>
  <si>
    <t xml:space="preserve">A criança recebeu medicamentos?</t>
  </si>
  <si>
    <t>data('MEDICIN')=='1'</t>
  </si>
  <si>
    <t>MEDICINDIA</t>
  </si>
  <si>
    <t>tratament</t>
  </si>
  <si>
    <t>MEDICIN_Q</t>
  </si>
  <si>
    <t xml:space="preserve">What treatments were given ?</t>
  </si>
  <si>
    <t xml:space="preserve">Qual tratamento foi dado?</t>
  </si>
  <si>
    <t>selected(data('MEDICIN_Q'),'77')</t>
  </si>
  <si>
    <t>MEDICINOU_Q</t>
  </si>
  <si>
    <t>Other:</t>
  </si>
  <si>
    <t>Outro:</t>
  </si>
  <si>
    <t>choice_list_name</t>
  </si>
  <si>
    <t>data_value</t>
  </si>
  <si>
    <t>Comments</t>
  </si>
  <si>
    <t>No</t>
  </si>
  <si>
    <t>Não</t>
  </si>
  <si>
    <t xml:space="preserve">Don't know</t>
  </si>
  <si>
    <t xml:space="preserve">Não sabe</t>
  </si>
  <si>
    <t>Yes</t>
  </si>
  <si>
    <t>Sim</t>
  </si>
  <si>
    <t>Abrao</t>
  </si>
  <si>
    <t xml:space="preserve">Eduardo replaced by Abrao on 16-2-2022</t>
  </si>
  <si>
    <t>Jailson</t>
  </si>
  <si>
    <t>Laerte</t>
  </si>
  <si>
    <t>Igualdino</t>
  </si>
  <si>
    <t>Abdel</t>
  </si>
  <si>
    <t>Armando</t>
  </si>
  <si>
    <t>Paracetamol</t>
  </si>
  <si>
    <t xml:space="preserve">added 16-02-2022</t>
  </si>
  <si>
    <t>Amoxicillina</t>
  </si>
  <si>
    <t xml:space="preserve">added 16-02-2023</t>
  </si>
  <si>
    <t xml:space="preserve">Complexo B</t>
  </si>
  <si>
    <t xml:space="preserve">added 16-02-2024</t>
  </si>
  <si>
    <t>Salbutamol</t>
  </si>
  <si>
    <t xml:space="preserve">added 16-02-2025</t>
  </si>
  <si>
    <t>Diazepam</t>
  </si>
  <si>
    <t xml:space="preserve">added 16-02-2026</t>
  </si>
  <si>
    <t>Prometazina</t>
  </si>
  <si>
    <t xml:space="preserve">added 16-02-2027</t>
  </si>
  <si>
    <t xml:space="preserve">Soro fisiologico</t>
  </si>
  <si>
    <t xml:space="preserve">Vitamina C</t>
  </si>
  <si>
    <t>SRO</t>
  </si>
  <si>
    <t xml:space="preserve">Sulfate de Zinco</t>
  </si>
  <si>
    <t>Azitomicina</t>
  </si>
  <si>
    <t>Brufen</t>
  </si>
  <si>
    <t>Albendazol</t>
  </si>
  <si>
    <t xml:space="preserve">added 16-02-2028</t>
  </si>
  <si>
    <t>Mebendazol</t>
  </si>
  <si>
    <t xml:space="preserve">added 16-02-2029</t>
  </si>
  <si>
    <t>Metroniazol</t>
  </si>
  <si>
    <t xml:space="preserve">added 16-02-2030</t>
  </si>
  <si>
    <t>Nistatina</t>
  </si>
  <si>
    <t xml:space="preserve">added 16-02-2031</t>
  </si>
  <si>
    <t>Augmentin</t>
  </si>
  <si>
    <t xml:space="preserve">added 16-02-2032</t>
  </si>
  <si>
    <t>Erytromecina</t>
  </si>
  <si>
    <t xml:space="preserve">added 16-02-2033</t>
  </si>
  <si>
    <t>Other</t>
  </si>
  <si>
    <t>Outro</t>
  </si>
  <si>
    <t xml:space="preserve">Follow up possible</t>
  </si>
  <si>
    <t xml:space="preserve">Seguimento realizado</t>
  </si>
  <si>
    <t xml:space="preserve">No network</t>
  </si>
  <si>
    <t xml:space="preserve">Sem rede</t>
  </si>
  <si>
    <t xml:space="preserve">Doesn't answer the phone</t>
  </si>
  <si>
    <t xml:space="preserve">Não atende o telemóvel</t>
  </si>
  <si>
    <t xml:space="preserve">Incorrect Number</t>
  </si>
  <si>
    <t xml:space="preserve">Numero incorreto</t>
  </si>
  <si>
    <t xml:space="preserve">No one to provide information</t>
  </si>
  <si>
    <t xml:space="preserve">Ninguem para fornecer informaçeos</t>
  </si>
  <si>
    <t>Mother</t>
  </si>
  <si>
    <t>Mãe</t>
  </si>
  <si>
    <t>Father</t>
  </si>
  <si>
    <t>Pai</t>
  </si>
  <si>
    <t xml:space="preserve">Other caretaker</t>
  </si>
  <si>
    <t>Tutor</t>
  </si>
  <si>
    <t xml:space="preserve">Não Sabe</t>
  </si>
  <si>
    <t>calculation_name</t>
  </si>
  <si>
    <t>displayLASTFUSUC</t>
  </si>
  <si>
    <t>adate.display(data('LASTFUSUC'))</t>
  </si>
  <si>
    <t>displayDOB</t>
  </si>
  <si>
    <t>adate.display(data('DOB'))</t>
  </si>
  <si>
    <t>displayBCG</t>
  </si>
  <si>
    <t>adate.display(data('BCG'))</t>
  </si>
  <si>
    <t>displayPOLIONAS</t>
  </si>
  <si>
    <t>adate.display(data('POLIONAS'))</t>
  </si>
  <si>
    <t>displayPENTA1</t>
  </si>
  <si>
    <t>adate.display(data('PENTA1'))</t>
  </si>
  <si>
    <t>displayPOLIO1</t>
  </si>
  <si>
    <t>adate.display(data('POLIO1'))</t>
  </si>
  <si>
    <t>displayPCV1</t>
  </si>
  <si>
    <t>adate.display(data('PCV1'))</t>
  </si>
  <si>
    <t>displayROX1</t>
  </si>
  <si>
    <t>adate.display(data('ROX1'))</t>
  </si>
  <si>
    <t>displayPENTA2</t>
  </si>
  <si>
    <t>adate.display(data('PENTA2'))</t>
  </si>
  <si>
    <t>displayPOLIO2</t>
  </si>
  <si>
    <t>adate.display(data('POLIO2'))</t>
  </si>
  <si>
    <t>displayPCV2</t>
  </si>
  <si>
    <t>adate.display(data('PCV2'))</t>
  </si>
  <si>
    <t>displayROX2</t>
  </si>
  <si>
    <t>adate.display(data('ROX2'))</t>
  </si>
  <si>
    <t>displayPENTA3</t>
  </si>
  <si>
    <t>adate.display(data('PENTA3'))</t>
  </si>
  <si>
    <t>displayPOLIO3</t>
  </si>
  <si>
    <t>adate.display(data('POLIO3'))</t>
  </si>
  <si>
    <t>displayPCV3</t>
  </si>
  <si>
    <t>adate.display(data('PCV3'))</t>
  </si>
  <si>
    <t>displayVPI</t>
  </si>
  <si>
    <t>adate.display(data('VPI'))</t>
  </si>
  <si>
    <t>displaySARAMPO1</t>
  </si>
  <si>
    <t>adate.display(data('SARAMPO1'))</t>
  </si>
  <si>
    <t>displayFEBAMAREL</t>
  </si>
  <si>
    <t>adate.display(data('FEBAMAREL'))</t>
  </si>
  <si>
    <t>displayVACOU1</t>
  </si>
  <si>
    <t>adate.display(data('VACOU1'))</t>
  </si>
  <si>
    <t>displayVACOU2</t>
  </si>
  <si>
    <t>adate.display(data('VACOU2'))</t>
  </si>
  <si>
    <t>displayVACOU3</t>
  </si>
  <si>
    <t>adate.display(data('VACOU3'))</t>
  </si>
  <si>
    <t>displayVACOU4</t>
  </si>
  <si>
    <t>adate.display(data('VACOU4'))</t>
  </si>
  <si>
    <t>displayVACOU5</t>
  </si>
  <si>
    <t>adate.display(data('VACOU5'))</t>
  </si>
  <si>
    <t>bcgpu</t>
  </si>
  <si>
    <t xml:space="preserve">freebase.echo('The date of the BCG vaccination is before the date of birth')</t>
  </si>
  <si>
    <t>polionaspu</t>
  </si>
  <si>
    <t xml:space="preserve">freebase.echo('The date of the polio at birth vaccination is before the date of birth')</t>
  </si>
  <si>
    <t>penta1pu</t>
  </si>
  <si>
    <t xml:space="preserve">freebase.echo('The date of the penta 1 vaccination is before the date of birth')</t>
  </si>
  <si>
    <t>polio1pu</t>
  </si>
  <si>
    <t xml:space="preserve">freebase.echo('The date of the polio 1 vaccination is before the date of birth')</t>
  </si>
  <si>
    <t>pcv1pu</t>
  </si>
  <si>
    <t xml:space="preserve">freebase.echo('The date of the PCV 1 vaccination is before the date of birth')</t>
  </si>
  <si>
    <t>rox1pu</t>
  </si>
  <si>
    <t xml:space="preserve">freebase.echo('The date of the rota 1 vaccination is before the date of birth')</t>
  </si>
  <si>
    <t>penta2pu</t>
  </si>
  <si>
    <t xml:space="preserve">freebase.echo('The date of the penta 2 vaccination is before the date of birth')</t>
  </si>
  <si>
    <t>polio2pu</t>
  </si>
  <si>
    <t xml:space="preserve">freebase.echo('The date of the polio 2 vaccination is before the date of birth')</t>
  </si>
  <si>
    <t>pcv2pu</t>
  </si>
  <si>
    <t xml:space="preserve">freebase.echo('The date of the PCV 2 vaccination is before the date of birth')</t>
  </si>
  <si>
    <t>rox2pu</t>
  </si>
  <si>
    <t xml:space="preserve">freebase.echo('The date of the rota 2 vaccination is before the date of birth')</t>
  </si>
  <si>
    <t>penta3pu</t>
  </si>
  <si>
    <t xml:space="preserve">freebase.echo('The date of the penta 3 vaccination is before the date of birth')</t>
  </si>
  <si>
    <t>polio3pu</t>
  </si>
  <si>
    <t xml:space="preserve">freebase.echo('The date of the polio 3 vaccination is before the date of birth')</t>
  </si>
  <si>
    <t>pcv3pu</t>
  </si>
  <si>
    <t xml:space="preserve">freebase.echo('The date of the PCV 3 vaccination is before the date of birth')</t>
  </si>
  <si>
    <t>pvipu</t>
  </si>
  <si>
    <t xml:space="preserve">freebase.echo('The date of the VPI vaccination is before the date of birth')</t>
  </si>
  <si>
    <t>sarampo1pu</t>
  </si>
  <si>
    <t xml:space="preserve">freebase.echo('The date of the measles 1 vaccination is before the date of birth')</t>
  </si>
  <si>
    <t>febamarelpu</t>
  </si>
  <si>
    <t xml:space="preserve">freebase.echo('The date of the yellow fever vaccination is before the date of birth')</t>
  </si>
  <si>
    <t>1penta2pu</t>
  </si>
  <si>
    <t xml:space="preserve">freebase.echo('The date of penta 2 is before penta 1')</t>
  </si>
  <si>
    <t>1polio2pu</t>
  </si>
  <si>
    <t xml:space="preserve">freebase.echo('The date of polio 2 is before polio 1')</t>
  </si>
  <si>
    <t>1pcv2pu</t>
  </si>
  <si>
    <t xml:space="preserve">freebase.echo('The date of PCV 2 is before PCV 1')</t>
  </si>
  <si>
    <t>1rox2pu</t>
  </si>
  <si>
    <t xml:space="preserve">freebase.echo('The date of rota 2 is before rota 1')</t>
  </si>
  <si>
    <t>2penta3pu</t>
  </si>
  <si>
    <t xml:space="preserve">freebase.echo('The date of penta 3 is before penta 2')</t>
  </si>
  <si>
    <t>2polio3pu</t>
  </si>
  <si>
    <t xml:space="preserve">freebase.echo('The date of polio 3 is before polio 2')</t>
  </si>
  <si>
    <t>2pcv3pu</t>
  </si>
  <si>
    <t xml:space="preserve">freebase.echo('The date of PCV 3 is before PCV 2')</t>
  </si>
  <si>
    <t>1penta3pu</t>
  </si>
  <si>
    <t xml:space="preserve">freebase.echo('The date of penta 3 is before penta 1')</t>
  </si>
  <si>
    <t>1polio3pu</t>
  </si>
  <si>
    <t xml:space="preserve">freebase.echo('The date of polio 3 is before polio 1')</t>
  </si>
  <si>
    <t>1pcv3pu</t>
  </si>
  <si>
    <t xml:space="preserve">freebase.echo('The date of PCV 3 is before PCV 1')</t>
  </si>
  <si>
    <t>sarampo16mpu</t>
  </si>
  <si>
    <t xml:space="preserve">freebase.echo('The date of measles 1 is before 6 months of age')</t>
  </si>
  <si>
    <t>febamarel6mpu</t>
  </si>
  <si>
    <t xml:space="preserve">freebase.echo('The date of yellow fever is before 6 months of age')</t>
  </si>
  <si>
    <t>bcgpup</t>
  </si>
  <si>
    <t xml:space="preserve">freebase.echo('A data da vacinação BCG é anterior à data de nascimento')</t>
  </si>
  <si>
    <t>polionaspup</t>
  </si>
  <si>
    <t xml:space="preserve">freebase.echo('A data da vacinação polio ao nascimento é anterior à data de nascimento')</t>
  </si>
  <si>
    <t>penta1pup</t>
  </si>
  <si>
    <t xml:space="preserve">freebase.echo('A data da vacinação penta 1 é anterior à data de nascimento')</t>
  </si>
  <si>
    <t>polio1pup</t>
  </si>
  <si>
    <t xml:space="preserve">freebase.echo('A data da vacinação polio 1 é anterior à data de nascimento')</t>
  </si>
  <si>
    <t>pcv1pup</t>
  </si>
  <si>
    <t xml:space="preserve">freebase.echo('A data da vacinação PCV 1 é anterior à data de nascimento')</t>
  </si>
  <si>
    <t>rox1pup</t>
  </si>
  <si>
    <t xml:space="preserve">freebase.echo('A data da vacinação rota 1 é anterior à data de nascimento')</t>
  </si>
  <si>
    <t>penta2pup</t>
  </si>
  <si>
    <t xml:space="preserve">freebase.echo('A data da vacinação penta 2 é anterior à data de nascimento')</t>
  </si>
  <si>
    <t>polio2pup</t>
  </si>
  <si>
    <t xml:space="preserve">freebase.echo('A data da vacinação polio 2 é anterior à data de nascimento')</t>
  </si>
  <si>
    <t>pcv2pup</t>
  </si>
  <si>
    <t xml:space="preserve">freebase.echo('A data da vacinação PCV 2 é anterior à data de nascimento')</t>
  </si>
  <si>
    <t>rox2pup</t>
  </si>
  <si>
    <t xml:space="preserve">freebase.echo('A data da vacinação rota 2 é anterior à data de nascimento')</t>
  </si>
  <si>
    <t>penta3pup</t>
  </si>
  <si>
    <t xml:space="preserve">freebase.echo('A data da vacinação penta 3 é anterior à data de nascimento')</t>
  </si>
  <si>
    <t>polio3pup</t>
  </si>
  <si>
    <t xml:space="preserve">freebase.echo('A data da vacinação polio 3 é anterior à data de nascimento')</t>
  </si>
  <si>
    <t>pcv3pup</t>
  </si>
  <si>
    <t xml:space="preserve">freebase.echo('A data da vacinação PCV 3 é anterior à data de nascimento')</t>
  </si>
  <si>
    <t>pvipup</t>
  </si>
  <si>
    <t xml:space="preserve">freebase.echo('A data da vacinação VPI é anterior à data de nascimento')</t>
  </si>
  <si>
    <t>sarampo1pup</t>
  </si>
  <si>
    <t xml:space="preserve">freebase.echo('A data da vacinação sarampo 1 é anterior à data de nascimento')</t>
  </si>
  <si>
    <t>febamarelpup</t>
  </si>
  <si>
    <t xml:space="preserve">freebase.echo('A data da vacinação febra amarela é anterior à data de nascimento')</t>
  </si>
  <si>
    <t>1penta2pup</t>
  </si>
  <si>
    <t xml:space="preserve">freebase.echo ('A data de penta 2 é anterior a penta 1')</t>
  </si>
  <si>
    <t>1polio2pup</t>
  </si>
  <si>
    <t xml:space="preserve">freebase.echo ('A data de polio 2 é anterior a polio 1')</t>
  </si>
  <si>
    <t>1pcv2pup</t>
  </si>
  <si>
    <t xml:space="preserve">freebase.echo ('A data do PCV 2 é anterior ao PCV 1')</t>
  </si>
  <si>
    <t>1rox2pup</t>
  </si>
  <si>
    <t xml:space="preserve">freebase.echo ('A data do rota 2 é anterior ao rota 1')</t>
  </si>
  <si>
    <t>2penta3pup</t>
  </si>
  <si>
    <t xml:space="preserve">freebase.echo ('A data de penta 3 é anterior a penta 2')</t>
  </si>
  <si>
    <t>2polio3pup</t>
  </si>
  <si>
    <t xml:space="preserve">freebase.echo ('A data de polio 3 é anterior a polio 2')</t>
  </si>
  <si>
    <t>2pcv3pup</t>
  </si>
  <si>
    <t xml:space="preserve">freebase.echo ('A data do PCV 3 é anterior ao PCV 2')</t>
  </si>
  <si>
    <t>1penta3pup</t>
  </si>
  <si>
    <t xml:space="preserve">freebase.echo ('A data de penta 3 é anterior a penta 1')</t>
  </si>
  <si>
    <t>1polio3pup</t>
  </si>
  <si>
    <t xml:space="preserve">freebase.echo ('A data de polio 3 é anterior a polio 1')</t>
  </si>
  <si>
    <t>1pcv3pup</t>
  </si>
  <si>
    <t xml:space="preserve">freebase.echo ('A data do PCV 3 é anterior ao PCV 1')</t>
  </si>
  <si>
    <t>sarampo16mpup</t>
  </si>
  <si>
    <t xml:space="preserve">freebase.echo ('A data de sarampo 1 é anterior a 6 meses de idade')</t>
  </si>
  <si>
    <t>febamarel6mpup</t>
  </si>
  <si>
    <t xml:space="preserve">freebase.echo ('A data de febre amarela é anterior a 6 meses de idade')</t>
  </si>
  <si>
    <t>query_name</t>
  </si>
  <si>
    <t>query_type</t>
  </si>
  <si>
    <t>uri</t>
  </si>
  <si>
    <t>callback</t>
  </si>
  <si>
    <t>interval_csv</t>
  </si>
  <si>
    <t>csv</t>
  </si>
  <si>
    <t>"DIAS.csv"</t>
  </si>
  <si>
    <t xml:space="preserve">_.chain(context)
.uniq(function(x) {
return x.INTERVAL
})
.map(function(place){
return {
data_value:place.INTERVAL,
display:{title: {text: place.INTERVAL} } };
}).value()</t>
  </si>
  <si>
    <t xml:space="preserve">_.map(context, function(place){place.data_value = place.DAYS_VALUE;
place.display = {title: {text: place.DAYS_NAME} };
return place;
})</t>
  </si>
  <si>
    <t>bairro_csv</t>
  </si>
  <si>
    <t>"TABZ.csv"</t>
  </si>
  <si>
    <t xml:space="preserve">_.chain(context)
.uniq(function(x) {
return x.BAIRRONR
})
.map(function(place){
return {
data_value:place.BAIRRONR,
display:{title: {text: place.BAIRRO} } };
}).value()</t>
  </si>
  <si>
    <t>tabz_csv</t>
  </si>
  <si>
    <t xml:space="preserve">_.map(context, function(place){place.data_value = place.TABZ;
place.display = {title: {text: place.ZONE} };
return place;
})</t>
  </si>
  <si>
    <t>prompt_type_name</t>
  </si>
  <si>
    <t>elementType</t>
  </si>
  <si>
    <t>comment</t>
  </si>
  <si>
    <t>string</t>
  </si>
  <si>
    <t xml:space="preserve">Save only mm.dd.yyyy with support for ?? at all positions</t>
  </si>
  <si>
    <t>FU</t>
  </si>
  <si>
    <t>chamada1</t>
  </si>
  <si>
    <t>tableApp</t>
  </si>
  <si>
    <t>chamada2</t>
  </si>
  <si>
    <t>chamada3</t>
  </si>
  <si>
    <t>DOB</t>
  </si>
  <si>
    <t>FOLLOWUP</t>
  </si>
  <si>
    <t>IDADEANO</t>
  </si>
  <si>
    <t>IDADEMES</t>
  </si>
  <si>
    <t>IDINC</t>
  </si>
  <si>
    <t>NOMECRI</t>
  </si>
  <si>
    <t>NOMEMAE</t>
  </si>
  <si>
    <t>NUMEST</t>
  </si>
  <si>
    <t>SEX</t>
  </si>
  <si>
    <t>TELEINF1</t>
  </si>
  <si>
    <t>TELEINF2</t>
  </si>
  <si>
    <t>TELEINF3</t>
  </si>
  <si>
    <t>TELEMOVEL1</t>
  </si>
  <si>
    <t>TELEMOVEL2</t>
  </si>
  <si>
    <t>TELEMOVEL3</t>
  </si>
  <si>
    <t>INFORMADOR3</t>
  </si>
  <si>
    <t>VACOU1CHECK</t>
  </si>
  <si>
    <t>VACOU2CHECK</t>
  </si>
  <si>
    <t>VACOU2TIPO</t>
  </si>
  <si>
    <t>VACOU3</t>
  </si>
  <si>
    <t>VACOU3CHECK</t>
  </si>
  <si>
    <t>VACOU3TIPO</t>
  </si>
  <si>
    <t>VACOU4</t>
  </si>
  <si>
    <t>VACOU4CHECK</t>
  </si>
  <si>
    <t>VACOU4TIPO</t>
  </si>
  <si>
    <t>VACOU5</t>
  </si>
  <si>
    <t>VACOU5CHECK</t>
  </si>
  <si>
    <t>VACOU5TIPO</t>
  </si>
  <si>
    <t>VPI</t>
  </si>
  <si>
    <t>VPICHECK</t>
  </si>
  <si>
    <t>vping</t>
  </si>
  <si>
    <t>CAMO</t>
  </si>
  <si>
    <t>CAMOONDE</t>
  </si>
  <si>
    <t>CNO</t>
  </si>
  <si>
    <t>DATINC</t>
  </si>
  <si>
    <t>ID</t>
  </si>
  <si>
    <t>LASTFUSUC</t>
  </si>
  <si>
    <t>TABZ</t>
  </si>
  <si>
    <t>select_one_dropdown</t>
  </si>
  <si>
    <t xml:space="preserve">Added 16-02-2022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</si>
</sst>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6]General"/>
  </numFmts>
  <fonts count="9">
    <font>
      <sz val="11.000000"/>
      <color theme="1"/>
      <name val="Calibri"/>
      <scheme val="minor"/>
    </font>
    <font>
      <sz val="11.000000"/>
      <color indexed="64"/>
      <name val="Calibri"/>
    </font>
    <font>
      <sz val="10.000000"/>
      <name val="Arial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  <font>
      <u/>
      <sz val="11.000000"/>
      <color theme="1"/>
      <name val="Calibri"/>
      <scheme val="minor"/>
    </font>
    <font>
      <color theme="1"/>
      <name val="Calibri"/>
      <scheme val="minor"/>
    </font>
    <font>
      <b/>
      <sz val="11.000000"/>
      <color rgb="FF40404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164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</cellStyleXfs>
  <cellXfs count="20">
    <xf fontId="0" fillId="0" borderId="0" numFmtId="0" xfId="0"/>
    <xf fontId="3" fillId="0" borderId="1" numFmtId="0" xfId="0" applyFont="1" applyBorder="1"/>
    <xf fontId="0" fillId="0" borderId="0" numFmtId="0" xfId="0"/>
    <xf fontId="0" fillId="0" borderId="0" numFmtId="0" xfId="0" applyAlignment="1">
      <alignment wrapText="1"/>
    </xf>
    <xf fontId="4" fillId="0" borderId="0" numFmtId="0" xfId="0" applyFont="1"/>
    <xf fontId="0" fillId="2" borderId="0" numFmtId="0" xfId="0" applyFill="1"/>
    <xf fontId="5" fillId="0" borderId="0" numFmtId="0" xfId="0" applyFont="1"/>
    <xf fontId="0" fillId="0" borderId="0" numFmtId="0" xfId="0">
      <protection hidden="0" locked="1"/>
    </xf>
    <xf fontId="5" fillId="2" borderId="0" numFmtId="0" xfId="0" applyFont="1" applyFill="1"/>
    <xf fontId="6" fillId="0" borderId="0" numFmtId="0" xfId="0" applyFont="1"/>
    <xf fontId="3" fillId="0" borderId="0" numFmtId="0" xfId="0" applyFont="1"/>
    <xf fontId="7" fillId="0" borderId="0" numFmtId="0" xfId="0" applyFont="1"/>
    <xf fontId="0" fillId="3" borderId="0" numFmtId="0" xfId="0" applyFill="1"/>
    <xf fontId="0" fillId="0" borderId="1" numFmtId="0" xfId="0" applyBorder="1"/>
    <xf fontId="3" fillId="0" borderId="0" numFmtId="0" xfId="0" applyFont="1"/>
    <xf fontId="2" fillId="0" borderId="0" numFmtId="0" xfId="0" applyFont="1"/>
    <xf fontId="8" fillId="0" borderId="0" numFmtId="0" xfId="0" applyFont="1"/>
    <xf fontId="3" fillId="0" borderId="0" numFmtId="0" xfId="0" applyFont="1">
      <protection hidden="0" locked="1"/>
    </xf>
    <xf fontId="3" fillId="3" borderId="0" numFmtId="0" xfId="0" applyFont="1" applyFill="1"/>
    <xf fontId="0" fillId="0" borderId="0" numFmtId="0" xfId="0"/>
  </cellXfs>
  <cellStyles count="4">
    <cellStyle name="Excel Built-in Normal" xfId="1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D5" activeCellId="0" sqref="D5"/>
    </sheetView>
  </sheetViews>
  <sheetFormatPr defaultRowHeight="14.5"/>
  <cols>
    <col bestFit="1" customWidth="1" min="1" max="1" width="13.26953125"/>
    <col bestFit="1" customWidth="1" min="3" max="3" width="29"/>
    <col bestFit="1" customWidth="1" min="4" max="4" width="27"/>
    <col bestFit="1" customWidth="1" min="5" max="5" width="24.7265625"/>
    <col bestFit="1" customWidth="1" min="6" max="6" width="28.5429687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</row>
    <row r="3">
      <c r="A3" t="s">
        <v>8</v>
      </c>
      <c r="B3">
        <v>60120</v>
      </c>
    </row>
    <row r="4">
      <c r="A4" t="s">
        <v>9</v>
      </c>
      <c r="B4" s="2" t="s">
        <v>7</v>
      </c>
    </row>
    <row r="5">
      <c r="A5" t="s">
        <v>10</v>
      </c>
      <c r="C5" t="s">
        <v>11</v>
      </c>
      <c r="D5" t="s">
        <v>12</v>
      </c>
    </row>
    <row r="6">
      <c r="A6" t="s">
        <v>13</v>
      </c>
      <c r="E6" t="s">
        <v>14</v>
      </c>
      <c r="F6" s="2" t="s">
        <v>15</v>
      </c>
    </row>
    <row r="7">
      <c r="A7" t="s">
        <v>16</v>
      </c>
      <c r="E7" t="s">
        <v>17</v>
      </c>
      <c r="F7" t="s">
        <v>18</v>
      </c>
    </row>
    <row r="8">
      <c r="A8" s="3" t="s">
        <v>19</v>
      </c>
      <c r="B8" s="3" t="s"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E5" activeCellId="0" sqref="E5"/>
    </sheetView>
  </sheetViews>
  <sheetFormatPr defaultRowHeight="14.25"/>
  <cols>
    <col bestFit="1" customWidth="1" min="1" max="1" width="12.453125"/>
    <col bestFit="1" customWidth="1" min="2" max="2" width="12.81640625"/>
    <col customWidth="1" min="3" max="3" width="44.453125"/>
    <col bestFit="1" customWidth="1" min="4" max="4" width="22"/>
    <col bestFit="1" customWidth="1" min="5" max="5" width="10.453125"/>
    <col bestFit="1" customWidth="1" min="6" max="6" width="13.26953125"/>
    <col bestFit="1" customWidth="1" min="7" max="7" width="44"/>
    <col customWidth="1" min="8" max="8" width="53.1796875"/>
    <col bestFit="1" customWidth="1" min="9" max="9" width="13.1796875"/>
    <col bestFit="1" customWidth="1" min="10" max="10" width="69"/>
    <col bestFit="1" customWidth="1" min="11" max="11" width="82.7265625"/>
    <col customWidth="1" min="12" max="12" width="9.140625"/>
    <col bestFit="1" customWidth="1" min="13" max="13" width="35.26953125"/>
    <col bestFit="1" customWidth="1" min="14" max="14" width="34.453125"/>
    <col bestFit="1" customWidth="1" min="15" max="15" width="19.54296875"/>
  </cols>
  <sheetData>
    <row r="1" s="1" customForma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30</v>
      </c>
      <c r="N1" s="1" t="s">
        <v>31</v>
      </c>
      <c r="O1" s="4" t="s">
        <v>33</v>
      </c>
      <c r="P1" s="1" t="s">
        <v>32</v>
      </c>
    </row>
    <row r="2" s="2" customFormat="1">
      <c r="A2" s="5" t="s">
        <v>34</v>
      </c>
      <c r="B2" s="2" t="s">
        <v>35</v>
      </c>
      <c r="C2" t="s">
        <v>36</v>
      </c>
      <c r="D2"/>
      <c r="E2"/>
      <c r="F2"/>
      <c r="G2"/>
      <c r="H2"/>
      <c r="I2" s="2"/>
      <c r="J2"/>
      <c r="K2"/>
      <c r="L2"/>
      <c r="O2" s="6"/>
    </row>
    <row r="3">
      <c r="A3" s="7"/>
      <c r="B3" s="7" t="s">
        <v>37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 t="s">
        <v>38</v>
      </c>
      <c r="E4" s="7"/>
      <c r="F4" s="7" t="s">
        <v>39</v>
      </c>
      <c r="G4" s="7"/>
      <c r="H4" s="7"/>
      <c r="I4" s="7" t="s">
        <v>40</v>
      </c>
      <c r="J4" s="7"/>
      <c r="K4" s="7"/>
      <c r="L4" s="7"/>
    </row>
    <row r="5">
      <c r="A5" s="7"/>
      <c r="B5" s="7"/>
      <c r="C5" s="7"/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/>
      <c r="J5" s="7"/>
      <c r="K5" s="7"/>
      <c r="L5" s="7"/>
    </row>
    <row r="6">
      <c r="A6" s="7"/>
      <c r="B6" s="7"/>
      <c r="C6" s="7"/>
      <c r="D6" s="7" t="s">
        <v>38</v>
      </c>
      <c r="E6" s="7"/>
      <c r="F6" s="7" t="s">
        <v>46</v>
      </c>
      <c r="G6" s="7"/>
      <c r="H6" s="7"/>
      <c r="I6" s="7" t="s">
        <v>47</v>
      </c>
      <c r="J6" s="7"/>
      <c r="K6" s="7"/>
      <c r="L6" s="7"/>
    </row>
    <row r="7">
      <c r="A7" s="7"/>
      <c r="B7" s="7"/>
      <c r="C7" s="7"/>
      <c r="D7" s="7" t="s">
        <v>48</v>
      </c>
      <c r="E7" s="7"/>
      <c r="F7" s="7" t="s">
        <v>46</v>
      </c>
      <c r="G7" s="7" t="s">
        <v>49</v>
      </c>
      <c r="H7" s="7" t="s">
        <v>50</v>
      </c>
      <c r="I7" s="7"/>
      <c r="J7" s="7"/>
      <c r="K7" s="7"/>
      <c r="L7" s="7" t="b">
        <v>0</v>
      </c>
      <c r="P7" t="b">
        <v>0</v>
      </c>
    </row>
    <row r="8">
      <c r="A8" s="7"/>
      <c r="B8" s="7" t="s">
        <v>51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 t="s">
        <v>52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="2" customFormat="1">
      <c r="A10" s="5" t="s">
        <v>53</v>
      </c>
      <c r="B10" s="2" t="s">
        <v>35</v>
      </c>
      <c r="C10" t="s">
        <v>54</v>
      </c>
      <c r="D10" s="7"/>
      <c r="E10" s="7"/>
      <c r="F10" s="7"/>
      <c r="G10" s="7"/>
      <c r="H10" s="7"/>
      <c r="I10" s="7"/>
      <c r="J10" s="7"/>
      <c r="K10" s="7"/>
      <c r="L10" s="7"/>
      <c r="O10" s="6"/>
    </row>
    <row r="11">
      <c r="A11" s="7"/>
      <c r="B11" s="7" t="s">
        <v>37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 t="s">
        <v>38</v>
      </c>
      <c r="E12" s="7"/>
      <c r="F12" s="7" t="s">
        <v>39</v>
      </c>
      <c r="G12" s="7"/>
      <c r="H12" s="7"/>
      <c r="I12" s="7" t="s">
        <v>40</v>
      </c>
      <c r="J12" s="7"/>
      <c r="K12" s="7"/>
      <c r="L12" s="7"/>
    </row>
    <row r="13">
      <c r="A13" s="7"/>
      <c r="B13" s="7"/>
      <c r="C13" s="7"/>
      <c r="D13" s="7" t="s">
        <v>41</v>
      </c>
      <c r="E13" s="7" t="s">
        <v>42</v>
      </c>
      <c r="F13" s="7" t="s">
        <v>55</v>
      </c>
      <c r="G13" s="7" t="s">
        <v>44</v>
      </c>
      <c r="H13" s="7" t="s">
        <v>45</v>
      </c>
      <c r="I13" s="7"/>
      <c r="J13" s="7"/>
      <c r="K13" s="7"/>
      <c r="L13" s="7"/>
    </row>
    <row r="14">
      <c r="A14" s="7"/>
      <c r="B14" s="7"/>
      <c r="C14" s="7"/>
      <c r="D14" s="7" t="s">
        <v>38</v>
      </c>
      <c r="E14" s="7"/>
      <c r="F14" s="7" t="s">
        <v>56</v>
      </c>
      <c r="G14" s="7"/>
      <c r="H14" s="7"/>
      <c r="I14" s="7" t="s">
        <v>47</v>
      </c>
      <c r="J14" s="7"/>
      <c r="K14" s="7"/>
      <c r="L14" s="7"/>
    </row>
    <row r="15">
      <c r="A15" s="7"/>
      <c r="B15" s="7"/>
      <c r="C15" s="7"/>
      <c r="D15" s="7" t="s">
        <v>48</v>
      </c>
      <c r="E15" s="7"/>
      <c r="F15" s="7" t="s">
        <v>56</v>
      </c>
      <c r="G15" s="7" t="s">
        <v>49</v>
      </c>
      <c r="H15" s="7" t="s">
        <v>50</v>
      </c>
      <c r="I15" s="7"/>
      <c r="J15" s="7"/>
      <c r="K15" s="7"/>
      <c r="L15" s="7" t="b">
        <v>0</v>
      </c>
      <c r="P15" t="b">
        <v>0</v>
      </c>
    </row>
    <row r="16">
      <c r="A16" s="7"/>
      <c r="B16" s="7" t="s">
        <v>51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 t="s">
        <v>52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="2" customFormat="1">
      <c r="A18" s="8" t="s">
        <v>57</v>
      </c>
      <c r="B18" s="2" t="s">
        <v>35</v>
      </c>
      <c r="C18" t="s">
        <v>58</v>
      </c>
      <c r="D18"/>
      <c r="E18"/>
      <c r="F18"/>
      <c r="G18"/>
      <c r="H18"/>
      <c r="I18" s="2"/>
      <c r="J18"/>
      <c r="K18"/>
      <c r="L18"/>
      <c r="O18" s="6"/>
    </row>
    <row r="19">
      <c r="A19" s="7"/>
      <c r="B19" s="7" t="s">
        <v>37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 t="s">
        <v>38</v>
      </c>
      <c r="E20" s="7"/>
      <c r="F20" s="7" t="s">
        <v>39</v>
      </c>
      <c r="G20" s="7"/>
      <c r="H20" s="7"/>
      <c r="I20" s="7" t="s">
        <v>40</v>
      </c>
      <c r="J20" s="7"/>
      <c r="K20" s="7"/>
      <c r="L20" s="7"/>
    </row>
    <row r="21">
      <c r="A21" s="7"/>
      <c r="B21" s="7"/>
      <c r="C21" s="7"/>
      <c r="D21" s="7" t="s">
        <v>41</v>
      </c>
      <c r="E21" s="7" t="s">
        <v>42</v>
      </c>
      <c r="F21" s="7" t="s">
        <v>59</v>
      </c>
      <c r="G21" s="7" t="s">
        <v>44</v>
      </c>
      <c r="H21" s="7" t="s">
        <v>45</v>
      </c>
      <c r="I21" s="7"/>
      <c r="J21" s="7"/>
      <c r="K21" s="7"/>
      <c r="L21" s="7"/>
    </row>
    <row r="22">
      <c r="A22" s="7"/>
      <c r="B22" s="7"/>
      <c r="C22" s="7"/>
      <c r="D22" s="7" t="s">
        <v>38</v>
      </c>
      <c r="E22" s="7"/>
      <c r="F22" s="7" t="s">
        <v>60</v>
      </c>
      <c r="G22" s="7"/>
      <c r="H22" s="7"/>
      <c r="I22" s="7" t="s">
        <v>47</v>
      </c>
      <c r="J22" s="7"/>
      <c r="K22" s="7"/>
      <c r="L22" s="7"/>
    </row>
    <row r="23">
      <c r="A23" s="7"/>
      <c r="B23" s="7"/>
      <c r="C23" s="7"/>
      <c r="D23" s="7" t="s">
        <v>48</v>
      </c>
      <c r="E23" s="7"/>
      <c r="F23" s="7" t="s">
        <v>60</v>
      </c>
      <c r="G23" s="7" t="s">
        <v>49</v>
      </c>
      <c r="H23" s="7" t="s">
        <v>50</v>
      </c>
      <c r="I23" s="7"/>
      <c r="J23" s="7"/>
      <c r="K23" s="7"/>
      <c r="L23" s="7" t="b">
        <v>0</v>
      </c>
      <c r="P23" t="b">
        <v>0</v>
      </c>
    </row>
    <row r="24">
      <c r="A24" s="7"/>
      <c r="B24" s="7" t="s">
        <v>51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7"/>
      <c r="B25" s="7" t="s">
        <v>52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="2" customFormat="1">
      <c r="A26" s="5" t="s">
        <v>34</v>
      </c>
      <c r="B26" s="2" t="s">
        <v>35</v>
      </c>
      <c r="C26" t="s">
        <v>61</v>
      </c>
      <c r="D26"/>
      <c r="E26"/>
      <c r="F26"/>
      <c r="G26"/>
      <c r="H26"/>
      <c r="I26" s="2"/>
      <c r="J26"/>
      <c r="K26"/>
      <c r="L26"/>
      <c r="O26" s="6"/>
    </row>
    <row r="27">
      <c r="A27" s="7"/>
      <c r="B27" s="7" t="s">
        <v>37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28.5">
      <c r="A28" s="7"/>
      <c r="B28" s="7"/>
      <c r="C28" s="7"/>
      <c r="D28" s="7" t="s">
        <v>62</v>
      </c>
      <c r="E28" t="s">
        <v>63</v>
      </c>
      <c r="F28" s="7" t="s">
        <v>64</v>
      </c>
      <c r="G28" s="3" t="s">
        <v>65</v>
      </c>
      <c r="H28" s="3" t="s">
        <v>66</v>
      </c>
      <c r="I28" s="7"/>
      <c r="J28" s="7" t="s">
        <v>67</v>
      </c>
      <c r="K28" t="s">
        <v>68</v>
      </c>
      <c r="L28" s="7"/>
    </row>
    <row r="29">
      <c r="A29" s="7"/>
      <c r="B29" s="7" t="s">
        <v>35</v>
      </c>
      <c r="C29" s="7" t="s">
        <v>69</v>
      </c>
      <c r="D29" s="7"/>
      <c r="E29"/>
      <c r="F29" s="7"/>
      <c r="G29" s="7"/>
      <c r="H29" s="7"/>
      <c r="I29" s="7"/>
      <c r="J29" s="7"/>
      <c r="K29" s="7"/>
      <c r="L29" s="7"/>
    </row>
    <row r="30">
      <c r="A30" s="7"/>
      <c r="B30" s="7"/>
      <c r="C30" s="7"/>
      <c r="D30" s="7" t="s">
        <v>70</v>
      </c>
      <c r="E30"/>
      <c r="F30" s="7"/>
      <c r="G30" s="7" t="s">
        <v>71</v>
      </c>
      <c r="H30" s="7" t="s">
        <v>72</v>
      </c>
      <c r="I30" s="7"/>
      <c r="J30" s="7"/>
      <c r="K30" s="7"/>
      <c r="L30" s="7"/>
    </row>
    <row r="31">
      <c r="A31" s="7"/>
      <c r="B31" s="7"/>
      <c r="C31" s="7"/>
      <c r="D31" s="7" t="s">
        <v>38</v>
      </c>
      <c r="E31"/>
      <c r="F31" s="7" t="s">
        <v>64</v>
      </c>
      <c r="G31" s="7"/>
      <c r="H31" s="7"/>
      <c r="I31" s="7">
        <v>4</v>
      </c>
      <c r="J31" s="7"/>
      <c r="K31" s="7"/>
      <c r="L31" s="7"/>
    </row>
    <row r="32">
      <c r="A32" s="7"/>
      <c r="B32" s="7" t="s">
        <v>52</v>
      </c>
      <c r="C32" s="7"/>
      <c r="D32" s="7"/>
      <c r="E32"/>
      <c r="F32" s="7"/>
      <c r="G32" s="7"/>
      <c r="H32" s="7"/>
      <c r="I32" s="7"/>
      <c r="J32" s="7"/>
      <c r="K32" s="7"/>
      <c r="L32" s="7"/>
    </row>
    <row r="33">
      <c r="A33" s="7"/>
      <c r="B33" s="7"/>
      <c r="C33" s="7"/>
      <c r="D33" s="7" t="s">
        <v>70</v>
      </c>
      <c r="E33"/>
      <c r="F33" s="7"/>
      <c r="G33" s="7" t="s">
        <v>73</v>
      </c>
      <c r="H33" s="7" t="s">
        <v>74</v>
      </c>
      <c r="I33" s="7"/>
      <c r="J33" s="7"/>
      <c r="K33" s="7"/>
      <c r="L33" s="7"/>
    </row>
    <row r="34">
      <c r="A34" s="7"/>
      <c r="B34" s="7" t="s">
        <v>35</v>
      </c>
      <c r="C34" s="7" t="s">
        <v>75</v>
      </c>
      <c r="D34" s="7"/>
      <c r="E34" s="7"/>
      <c r="F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 t="s">
        <v>70</v>
      </c>
      <c r="E35" s="7"/>
      <c r="F35" s="7"/>
      <c r="G35" s="7" t="s">
        <v>76</v>
      </c>
      <c r="H35" s="7" t="s">
        <v>77</v>
      </c>
      <c r="I35" s="7"/>
      <c r="J35" s="7"/>
      <c r="K35" s="7"/>
      <c r="L35" s="7"/>
    </row>
    <row r="36">
      <c r="A36" s="7"/>
      <c r="B36" s="7" t="s">
        <v>78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 t="s">
        <v>70</v>
      </c>
      <c r="E37" s="7"/>
      <c r="F37" s="7"/>
      <c r="G37" s="7" t="s">
        <v>79</v>
      </c>
      <c r="H37" s="7" t="s">
        <v>80</v>
      </c>
      <c r="I37" s="7"/>
      <c r="J37" s="7"/>
      <c r="K37" s="7"/>
      <c r="L37" s="7"/>
    </row>
    <row r="38">
      <c r="A38" s="7"/>
      <c r="B38" s="7" t="s">
        <v>52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7"/>
      <c r="B39" s="7" t="s">
        <v>35</v>
      </c>
      <c r="C39" s="7" t="s">
        <v>81</v>
      </c>
      <c r="D39" s="7"/>
      <c r="E39" s="7"/>
      <c r="F39" s="7"/>
      <c r="G39" s="7"/>
      <c r="H39" s="7"/>
      <c r="I39" s="7"/>
      <c r="J39" s="7"/>
      <c r="K39" s="7"/>
      <c r="L39" s="7"/>
    </row>
    <row r="40">
      <c r="A40" s="7"/>
      <c r="B40" s="7"/>
      <c r="C40" s="7"/>
      <c r="D40" s="7" t="s">
        <v>70</v>
      </c>
      <c r="E40" s="7"/>
      <c r="F40" s="7"/>
      <c r="G40" s="7" t="s">
        <v>82</v>
      </c>
      <c r="H40" s="7" t="s">
        <v>83</v>
      </c>
      <c r="I40" s="7"/>
      <c r="J40" s="7"/>
      <c r="K40" s="7"/>
      <c r="L40" s="7"/>
    </row>
    <row r="41">
      <c r="A41" s="7"/>
      <c r="B41" s="7" t="s">
        <v>78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7"/>
      <c r="B42" s="7"/>
      <c r="C42" s="7"/>
      <c r="D42" s="7" t="s">
        <v>70</v>
      </c>
      <c r="E42" s="7"/>
      <c r="F42" s="7"/>
      <c r="G42" s="7" t="s">
        <v>84</v>
      </c>
      <c r="H42" s="7" t="s">
        <v>85</v>
      </c>
      <c r="I42" s="7"/>
      <c r="J42" s="7"/>
      <c r="K42" s="7"/>
      <c r="L42" s="7"/>
    </row>
    <row r="43">
      <c r="A43" s="7"/>
      <c r="B43" s="7" t="s">
        <v>52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A44" s="7"/>
      <c r="B44" s="7"/>
      <c r="C44" s="7"/>
      <c r="D44" s="7" t="s">
        <v>70</v>
      </c>
      <c r="E44"/>
      <c r="F44" s="7"/>
      <c r="G44" s="7" t="s">
        <v>86</v>
      </c>
      <c r="H44" s="7" t="s">
        <v>87</v>
      </c>
      <c r="I44" s="7"/>
      <c r="J44" s="7"/>
      <c r="K44" s="7"/>
      <c r="L44" s="7"/>
    </row>
    <row r="45">
      <c r="A45" s="7"/>
      <c r="B45" s="7"/>
      <c r="C45" s="7"/>
      <c r="D45" s="7" t="s">
        <v>70</v>
      </c>
      <c r="E45" s="7"/>
      <c r="F45" s="7"/>
      <c r="G45" s="7" t="s">
        <v>88</v>
      </c>
      <c r="H45" s="7" t="s">
        <v>89</v>
      </c>
      <c r="I45" s="7"/>
      <c r="J45" s="7"/>
      <c r="K45" s="7"/>
      <c r="L45" s="7"/>
    </row>
    <row r="46">
      <c r="A46" s="7"/>
      <c r="B46" s="7"/>
      <c r="C46" s="7"/>
      <c r="D46" s="7" t="s">
        <v>70</v>
      </c>
      <c r="E46" s="7"/>
      <c r="F46" s="7"/>
      <c r="G46" s="7" t="s">
        <v>90</v>
      </c>
      <c r="H46" s="7" t="s">
        <v>91</v>
      </c>
      <c r="I46" s="7"/>
      <c r="J46" s="7"/>
      <c r="K46" s="7"/>
      <c r="L46" s="7"/>
    </row>
    <row r="47">
      <c r="A47" s="7"/>
      <c r="B47" s="7"/>
      <c r="C47" s="7"/>
      <c r="D47" s="7" t="s">
        <v>38</v>
      </c>
      <c r="E47" s="7"/>
      <c r="F47" s="7" t="s">
        <v>92</v>
      </c>
      <c r="G47" s="7"/>
      <c r="H47" s="7"/>
      <c r="I47" s="7" t="s">
        <v>93</v>
      </c>
      <c r="J47" s="7"/>
      <c r="K47" s="7"/>
      <c r="L47" s="7"/>
    </row>
    <row r="48">
      <c r="A48" s="7"/>
      <c r="B48" s="7" t="s">
        <v>51</v>
      </c>
      <c r="C48" s="7"/>
      <c r="D48" s="7"/>
      <c r="E48" s="7"/>
      <c r="F48" s="7"/>
      <c r="G48" s="9"/>
      <c r="H48" s="7"/>
      <c r="I48" s="7"/>
      <c r="J48" s="7"/>
      <c r="K48" s="7"/>
      <c r="L48" s="7"/>
    </row>
    <row r="49">
      <c r="A49" s="7"/>
      <c r="B49" s="7" t="s">
        <v>35</v>
      </c>
      <c r="C49" s="7" t="s">
        <v>94</v>
      </c>
      <c r="D49" s="7"/>
      <c r="E49" s="7"/>
      <c r="F49" s="7"/>
      <c r="G49" s="9"/>
      <c r="H49" s="7"/>
      <c r="I49" s="7"/>
      <c r="J49" s="7"/>
      <c r="K49" s="7"/>
      <c r="L49" s="7"/>
    </row>
    <row r="50">
      <c r="A50" s="7"/>
      <c r="B50" s="7" t="s">
        <v>37</v>
      </c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A51" s="7"/>
      <c r="B51" s="7" t="s">
        <v>35</v>
      </c>
      <c r="C51" s="7" t="s">
        <v>95</v>
      </c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7"/>
      <c r="D52" s="7" t="s">
        <v>70</v>
      </c>
      <c r="E52" s="7"/>
      <c r="F52" s="7"/>
      <c r="G52" s="7" t="s">
        <v>96</v>
      </c>
      <c r="H52" s="7" t="s">
        <v>97</v>
      </c>
      <c r="I52" s="7"/>
      <c r="J52" s="7"/>
      <c r="K52" s="7"/>
      <c r="L52" s="7"/>
    </row>
    <row r="53">
      <c r="A53" s="7"/>
      <c r="B53" s="7"/>
      <c r="C53" s="7"/>
      <c r="D53" s="7" t="s">
        <v>38</v>
      </c>
      <c r="E53" s="7"/>
      <c r="F53" s="7" t="s">
        <v>98</v>
      </c>
      <c r="G53" s="7"/>
      <c r="H53" s="7"/>
      <c r="I53" s="7">
        <v>7</v>
      </c>
      <c r="J53" s="7"/>
      <c r="K53" s="7"/>
      <c r="L53" s="7"/>
    </row>
    <row r="54">
      <c r="A54" s="7"/>
      <c r="B54" s="7" t="s">
        <v>78</v>
      </c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28.5">
      <c r="A55" s="7"/>
      <c r="B55" s="7"/>
      <c r="C55" s="7"/>
      <c r="D55" s="7" t="s">
        <v>62</v>
      </c>
      <c r="E55" s="7" t="s">
        <v>63</v>
      </c>
      <c r="F55" s="7" t="s">
        <v>98</v>
      </c>
      <c r="G55" s="3" t="s">
        <v>99</v>
      </c>
      <c r="H55" s="3" t="s">
        <v>100</v>
      </c>
      <c r="I55" s="7"/>
      <c r="J55" s="7" t="s">
        <v>67</v>
      </c>
      <c r="K55" t="s">
        <v>68</v>
      </c>
      <c r="L55" s="7"/>
    </row>
    <row r="56">
      <c r="A56" s="7"/>
      <c r="B56" s="7" t="s">
        <v>35</v>
      </c>
      <c r="C56" s="7" t="s">
        <v>101</v>
      </c>
      <c r="D56" s="7"/>
      <c r="E56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 t="s">
        <v>70</v>
      </c>
      <c r="E57"/>
      <c r="F57" s="7"/>
      <c r="G57" s="7" t="s">
        <v>71</v>
      </c>
      <c r="H57" s="7" t="s">
        <v>72</v>
      </c>
      <c r="I57" s="7"/>
      <c r="J57" s="7"/>
      <c r="K57" s="7"/>
      <c r="L57" s="7"/>
    </row>
    <row r="58">
      <c r="A58" s="7"/>
      <c r="B58" s="7"/>
      <c r="C58" s="7"/>
      <c r="D58" s="7" t="s">
        <v>38</v>
      </c>
      <c r="E58"/>
      <c r="F58" s="7" t="s">
        <v>98</v>
      </c>
      <c r="G58" s="7"/>
      <c r="H58" s="7"/>
      <c r="I58" s="7">
        <v>4</v>
      </c>
      <c r="J58" s="7"/>
      <c r="K58" s="7"/>
      <c r="L58" s="7"/>
    </row>
    <row r="59">
      <c r="A59" s="7"/>
      <c r="B59" s="7" t="s">
        <v>52</v>
      </c>
      <c r="C59" s="7"/>
      <c r="D59" s="7"/>
      <c r="E59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 t="s">
        <v>70</v>
      </c>
      <c r="E60"/>
      <c r="F60" s="7"/>
      <c r="G60" s="7" t="s">
        <v>73</v>
      </c>
      <c r="H60" s="7" t="s">
        <v>74</v>
      </c>
      <c r="I60" s="7"/>
      <c r="J60" s="7"/>
      <c r="K60" s="7"/>
      <c r="L60" s="7"/>
    </row>
    <row r="61">
      <c r="A61" s="7"/>
      <c r="B61" s="7" t="s">
        <v>35</v>
      </c>
      <c r="C61" s="7" t="s">
        <v>75</v>
      </c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 t="s">
        <v>70</v>
      </c>
      <c r="E62" s="7"/>
      <c r="F62" s="7"/>
      <c r="G62" s="7" t="s">
        <v>76</v>
      </c>
      <c r="H62" s="7" t="s">
        <v>77</v>
      </c>
      <c r="I62" s="7"/>
      <c r="J62" s="7"/>
      <c r="K62" s="7"/>
      <c r="L62" s="7"/>
    </row>
    <row r="63">
      <c r="A63" s="7"/>
      <c r="B63" s="7" t="s">
        <v>78</v>
      </c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 t="s">
        <v>70</v>
      </c>
      <c r="E64" s="7"/>
      <c r="F64" s="7"/>
      <c r="G64" s="7" t="s">
        <v>79</v>
      </c>
      <c r="H64" s="7" t="s">
        <v>80</v>
      </c>
      <c r="I64" s="7"/>
      <c r="J64" s="7"/>
      <c r="K64" s="7"/>
      <c r="L64" s="7"/>
    </row>
    <row r="65">
      <c r="A65" s="7"/>
      <c r="B65" s="7" t="s">
        <v>52</v>
      </c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 t="s">
        <v>35</v>
      </c>
      <c r="C66" s="7" t="s">
        <v>81</v>
      </c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 t="s">
        <v>70</v>
      </c>
      <c r="E67" s="7"/>
      <c r="F67" s="7"/>
      <c r="G67" s="7" t="s">
        <v>82</v>
      </c>
      <c r="H67" s="7" t="s">
        <v>83</v>
      </c>
      <c r="I67" s="7"/>
      <c r="J67" s="7"/>
      <c r="K67" s="7"/>
      <c r="L67" s="7"/>
    </row>
    <row r="68">
      <c r="A68" s="7"/>
      <c r="B68" s="7" t="s">
        <v>78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7"/>
      <c r="D69" s="7" t="s">
        <v>70</v>
      </c>
      <c r="E69" s="7"/>
      <c r="F69" s="7"/>
      <c r="G69" s="7" t="s">
        <v>84</v>
      </c>
      <c r="H69" s="7" t="s">
        <v>85</v>
      </c>
      <c r="I69" s="7"/>
      <c r="J69" s="7"/>
      <c r="K69" s="7"/>
      <c r="L69" s="7"/>
    </row>
    <row r="70">
      <c r="A70" s="7"/>
      <c r="B70" s="7" t="s">
        <v>52</v>
      </c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 t="s">
        <v>70</v>
      </c>
      <c r="E71"/>
      <c r="F71" s="7"/>
      <c r="G71" s="7" t="s">
        <v>86</v>
      </c>
      <c r="H71" s="7" t="s">
        <v>87</v>
      </c>
      <c r="I71" s="7"/>
      <c r="J71" s="7"/>
      <c r="K71" s="7"/>
      <c r="L71" s="7"/>
    </row>
    <row r="72">
      <c r="A72" s="7"/>
      <c r="B72" s="7"/>
      <c r="C72" s="7"/>
      <c r="D72" s="7" t="s">
        <v>70</v>
      </c>
      <c r="E72" s="7"/>
      <c r="F72" s="7"/>
      <c r="G72" s="7" t="s">
        <v>88</v>
      </c>
      <c r="H72" s="7" t="s">
        <v>89</v>
      </c>
      <c r="I72" s="7"/>
      <c r="J72" s="7"/>
      <c r="K72" s="7"/>
      <c r="L72" s="7"/>
    </row>
    <row r="73">
      <c r="A73" s="7"/>
      <c r="B73" s="7"/>
      <c r="C73" s="7"/>
      <c r="D73" s="7" t="s">
        <v>70</v>
      </c>
      <c r="E73" s="7"/>
      <c r="F73" s="7"/>
      <c r="G73" s="7" t="s">
        <v>90</v>
      </c>
      <c r="H73" s="7" t="s">
        <v>91</v>
      </c>
      <c r="I73" s="7"/>
      <c r="J73" s="7"/>
      <c r="K73" s="7"/>
      <c r="L73" s="7"/>
    </row>
    <row r="74">
      <c r="A74" s="7"/>
      <c r="B74" s="7"/>
      <c r="C74" s="7"/>
      <c r="D74" s="7" t="s">
        <v>38</v>
      </c>
      <c r="E74" s="7"/>
      <c r="F74" s="7" t="s">
        <v>92</v>
      </c>
      <c r="G74" s="7"/>
      <c r="H74" s="7"/>
      <c r="I74" s="7" t="s">
        <v>93</v>
      </c>
      <c r="J74" s="7"/>
      <c r="K74" s="7"/>
      <c r="L74" s="7"/>
    </row>
    <row r="75">
      <c r="A75" s="7"/>
      <c r="B75" s="7" t="s">
        <v>52</v>
      </c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 t="s">
        <v>51</v>
      </c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="2" customFormat="1">
      <c r="A77" s="7"/>
      <c r="B77" s="7" t="s">
        <v>35</v>
      </c>
      <c r="C77" s="7" t="s">
        <v>102</v>
      </c>
      <c r="D77" s="7"/>
      <c r="E77" s="7"/>
      <c r="F77" s="7"/>
      <c r="G77" s="7"/>
      <c r="H77" s="7"/>
      <c r="I77" s="7"/>
      <c r="J77" s="7"/>
      <c r="K77" s="7"/>
      <c r="L77" s="7"/>
      <c r="O77" s="6"/>
    </row>
    <row r="78">
      <c r="A78" s="7"/>
      <c r="B78" s="7" t="s">
        <v>37</v>
      </c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 t="s">
        <v>35</v>
      </c>
      <c r="C79" s="7" t="s">
        <v>103</v>
      </c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7"/>
      <c r="D80" s="7" t="s">
        <v>70</v>
      </c>
      <c r="E80" s="7"/>
      <c r="F80" s="7"/>
      <c r="G80" s="7" t="s">
        <v>104</v>
      </c>
      <c r="H80" s="7" t="s">
        <v>105</v>
      </c>
      <c r="I80" s="7"/>
      <c r="J80" s="7"/>
      <c r="K80" s="7"/>
      <c r="L80" s="7"/>
    </row>
    <row r="81">
      <c r="A81" s="7"/>
      <c r="B81" s="7"/>
      <c r="C81" s="7"/>
      <c r="D81" s="7" t="s">
        <v>38</v>
      </c>
      <c r="E81" s="7"/>
      <c r="F81" s="7" t="s">
        <v>106</v>
      </c>
      <c r="G81" s="7"/>
      <c r="H81" s="7"/>
      <c r="I81" s="7">
        <v>7</v>
      </c>
      <c r="J81" s="7"/>
      <c r="K81" s="7"/>
      <c r="L81" s="7"/>
    </row>
    <row r="82">
      <c r="A82" s="7"/>
      <c r="B82" s="7" t="s">
        <v>78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7"/>
      <c r="D83" s="7" t="s">
        <v>62</v>
      </c>
      <c r="E83" s="7" t="s">
        <v>63</v>
      </c>
      <c r="F83" s="7" t="s">
        <v>106</v>
      </c>
      <c r="G83" s="3" t="s">
        <v>107</v>
      </c>
      <c r="H83" s="3" t="s">
        <v>108</v>
      </c>
      <c r="I83" s="7"/>
      <c r="J83" s="7" t="s">
        <v>67</v>
      </c>
      <c r="K83" t="s">
        <v>68</v>
      </c>
      <c r="L83" s="7"/>
    </row>
    <row r="84">
      <c r="A84" s="7"/>
      <c r="B84" s="7" t="s">
        <v>35</v>
      </c>
      <c r="C84" s="7" t="s">
        <v>109</v>
      </c>
      <c r="D84" s="7"/>
      <c r="E84"/>
      <c r="F84" s="7"/>
      <c r="G84" s="7"/>
      <c r="H84" s="7"/>
      <c r="I84" s="7"/>
      <c r="J84" s="7"/>
      <c r="K84" s="7"/>
      <c r="L84" s="7"/>
    </row>
    <row r="85">
      <c r="A85" s="7"/>
      <c r="B85" s="7"/>
      <c r="C85" s="7"/>
      <c r="D85" s="7" t="s">
        <v>70</v>
      </c>
      <c r="E85"/>
      <c r="F85" s="7"/>
      <c r="G85" s="7" t="s">
        <v>71</v>
      </c>
      <c r="H85" s="7" t="s">
        <v>72</v>
      </c>
      <c r="I85" s="7"/>
      <c r="J85" s="7"/>
      <c r="K85" s="7"/>
      <c r="L85" s="7"/>
    </row>
    <row r="86">
      <c r="A86" s="7"/>
      <c r="B86" s="7"/>
      <c r="C86" s="7"/>
      <c r="D86" s="7" t="s">
        <v>38</v>
      </c>
      <c r="E86"/>
      <c r="F86" s="7" t="s">
        <v>106</v>
      </c>
      <c r="G86" s="7"/>
      <c r="H86" s="7"/>
      <c r="I86" s="7">
        <v>4</v>
      </c>
      <c r="J86" s="7"/>
      <c r="K86" s="7"/>
      <c r="L86" s="7"/>
    </row>
    <row r="87">
      <c r="A87" s="7"/>
      <c r="B87" s="7" t="s">
        <v>52</v>
      </c>
      <c r="C87" s="7"/>
      <c r="D87" s="7"/>
      <c r="E87"/>
      <c r="F87" s="7"/>
      <c r="G87" s="7"/>
      <c r="H87" s="7"/>
      <c r="I87" s="7"/>
      <c r="J87" s="7"/>
      <c r="K87" s="7"/>
      <c r="L87" s="7"/>
    </row>
    <row r="88">
      <c r="A88" s="7"/>
      <c r="B88" s="7"/>
      <c r="C88" s="7"/>
      <c r="D88" s="7" t="s">
        <v>70</v>
      </c>
      <c r="E88"/>
      <c r="F88" s="7"/>
      <c r="G88" s="7" t="s">
        <v>73</v>
      </c>
      <c r="H88" s="7" t="s">
        <v>74</v>
      </c>
      <c r="I88" s="7"/>
      <c r="J88" s="7"/>
      <c r="K88" s="7"/>
      <c r="L88" s="7"/>
    </row>
    <row r="89">
      <c r="A89" s="7"/>
      <c r="B89" s="7" t="s">
        <v>35</v>
      </c>
      <c r="C89" s="7" t="s">
        <v>75</v>
      </c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7"/>
      <c r="D90" s="7" t="s">
        <v>70</v>
      </c>
      <c r="E90" s="7"/>
      <c r="F90" s="7"/>
      <c r="G90" s="7" t="s">
        <v>76</v>
      </c>
      <c r="H90" s="7" t="s">
        <v>77</v>
      </c>
      <c r="I90" s="7"/>
      <c r="J90" s="7"/>
      <c r="K90" s="7"/>
      <c r="L90" s="7"/>
    </row>
    <row r="91">
      <c r="A91" s="7"/>
      <c r="B91" s="7" t="s">
        <v>78</v>
      </c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7"/>
      <c r="D92" s="7" t="s">
        <v>70</v>
      </c>
      <c r="E92" s="7"/>
      <c r="F92" s="7"/>
      <c r="G92" s="7" t="s">
        <v>79</v>
      </c>
      <c r="H92" s="7" t="s">
        <v>80</v>
      </c>
      <c r="I92" s="7"/>
      <c r="J92" s="7"/>
      <c r="K92" s="7"/>
      <c r="L92" s="7"/>
    </row>
    <row r="93">
      <c r="A93" s="7"/>
      <c r="B93" s="7" t="s">
        <v>52</v>
      </c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 t="s">
        <v>35</v>
      </c>
      <c r="C94" s="7" t="s">
        <v>81</v>
      </c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 t="s">
        <v>70</v>
      </c>
      <c r="E95" s="7"/>
      <c r="F95" s="7"/>
      <c r="G95" s="7" t="s">
        <v>82</v>
      </c>
      <c r="H95" s="7" t="s">
        <v>83</v>
      </c>
      <c r="I95" s="7"/>
      <c r="J95" s="7"/>
      <c r="K95" s="7"/>
      <c r="L95" s="7"/>
    </row>
    <row r="96">
      <c r="A96" s="7"/>
      <c r="B96" s="7" t="s">
        <v>78</v>
      </c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 t="s">
        <v>70</v>
      </c>
      <c r="E97" s="7"/>
      <c r="F97" s="7"/>
      <c r="G97" s="7" t="s">
        <v>84</v>
      </c>
      <c r="H97" s="7" t="s">
        <v>85</v>
      </c>
      <c r="I97" s="7"/>
      <c r="J97" s="7"/>
      <c r="K97" s="7"/>
      <c r="L97" s="7"/>
    </row>
    <row r="98">
      <c r="A98" s="7"/>
      <c r="B98" s="7" t="s">
        <v>52</v>
      </c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 t="s">
        <v>70</v>
      </c>
      <c r="E99"/>
      <c r="F99" s="7"/>
      <c r="G99" s="7" t="s">
        <v>86</v>
      </c>
      <c r="H99" s="7" t="s">
        <v>87</v>
      </c>
      <c r="I99" s="7"/>
      <c r="J99" s="7"/>
      <c r="K99" s="7"/>
      <c r="L99" s="7"/>
    </row>
    <row r="100">
      <c r="A100" s="7"/>
      <c r="B100" s="7"/>
      <c r="C100" s="7"/>
      <c r="D100" s="7" t="s">
        <v>70</v>
      </c>
      <c r="E100" s="7"/>
      <c r="F100" s="7"/>
      <c r="G100" s="7" t="s">
        <v>88</v>
      </c>
      <c r="H100" s="7" t="s">
        <v>89</v>
      </c>
      <c r="I100" s="7"/>
      <c r="J100" s="7"/>
      <c r="K100" s="7"/>
      <c r="L100" s="7"/>
    </row>
    <row r="101">
      <c r="A101" s="7"/>
      <c r="B101" s="7"/>
      <c r="C101" s="7"/>
      <c r="D101" s="7" t="s">
        <v>70</v>
      </c>
      <c r="E101" s="7"/>
      <c r="F101" s="7"/>
      <c r="G101" s="7" t="s">
        <v>90</v>
      </c>
      <c r="H101" s="7" t="s">
        <v>91</v>
      </c>
      <c r="I101" s="7"/>
      <c r="J101" s="7"/>
      <c r="K101" s="7"/>
      <c r="L101" s="7"/>
    </row>
    <row r="102">
      <c r="A102" s="7"/>
      <c r="B102" s="7"/>
      <c r="C102" s="7"/>
      <c r="D102" s="7" t="s">
        <v>38</v>
      </c>
      <c r="E102" s="7"/>
      <c r="F102" s="7" t="s">
        <v>92</v>
      </c>
      <c r="G102" s="7"/>
      <c r="H102" s="7"/>
      <c r="I102" s="7" t="s">
        <v>93</v>
      </c>
      <c r="J102" s="7"/>
      <c r="K102" s="7"/>
      <c r="L102" s="7"/>
    </row>
    <row r="103">
      <c r="A103" s="7"/>
      <c r="B103" s="7" t="s">
        <v>52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 t="s">
        <v>51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 t="s">
        <v>52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 t="s">
        <v>52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 t="s">
        <v>52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5" t="s">
        <v>53</v>
      </c>
      <c r="B108" t="s">
        <v>35</v>
      </c>
      <c r="C108" t="s">
        <v>110</v>
      </c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 t="s">
        <v>37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 t="s">
        <v>62</v>
      </c>
      <c r="E110" t="s">
        <v>63</v>
      </c>
      <c r="F110" s="7" t="s">
        <v>111</v>
      </c>
      <c r="G110" s="3" t="s">
        <v>65</v>
      </c>
      <c r="H110" s="3" t="s">
        <v>66</v>
      </c>
      <c r="I110" s="7"/>
      <c r="J110" s="7" t="s">
        <v>67</v>
      </c>
      <c r="K110" t="s">
        <v>68</v>
      </c>
      <c r="L110" s="7"/>
    </row>
    <row r="111">
      <c r="A111" s="7"/>
      <c r="B111" s="7" t="s">
        <v>35</v>
      </c>
      <c r="C111" s="7" t="s">
        <v>112</v>
      </c>
      <c r="D111" s="7"/>
      <c r="E111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 t="s">
        <v>70</v>
      </c>
      <c r="E112"/>
      <c r="F112" s="7"/>
      <c r="G112" s="7" t="s">
        <v>71</v>
      </c>
      <c r="H112" s="7" t="s">
        <v>72</v>
      </c>
      <c r="I112" s="7"/>
      <c r="J112" s="7"/>
      <c r="K112" s="7"/>
      <c r="L112" s="7"/>
    </row>
    <row r="113">
      <c r="A113" s="7"/>
      <c r="B113" s="7"/>
      <c r="C113" s="7"/>
      <c r="D113" s="7" t="s">
        <v>38</v>
      </c>
      <c r="E113"/>
      <c r="F113" s="7" t="s">
        <v>111</v>
      </c>
      <c r="G113" s="7"/>
      <c r="H113" s="7"/>
      <c r="I113" s="7">
        <v>4</v>
      </c>
      <c r="J113" s="7"/>
      <c r="K113" s="7"/>
      <c r="L113" s="7"/>
    </row>
    <row r="114">
      <c r="A114" s="7"/>
      <c r="B114" s="7" t="s">
        <v>52</v>
      </c>
      <c r="C114" s="7"/>
      <c r="D114" s="7"/>
      <c r="E114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 t="s">
        <v>70</v>
      </c>
      <c r="E115"/>
      <c r="F115" s="7"/>
      <c r="G115" s="7" t="s">
        <v>73</v>
      </c>
      <c r="H115" s="7" t="s">
        <v>74</v>
      </c>
      <c r="I115" s="7"/>
      <c r="J115" s="7"/>
      <c r="K115" s="7"/>
      <c r="L115" s="7"/>
    </row>
    <row r="116">
      <c r="A116" s="7"/>
      <c r="B116" s="7" t="s">
        <v>35</v>
      </c>
      <c r="C116" s="7" t="s">
        <v>75</v>
      </c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 t="s">
        <v>70</v>
      </c>
      <c r="E117" s="7"/>
      <c r="F117" s="7"/>
      <c r="G117" s="7" t="s">
        <v>76</v>
      </c>
      <c r="H117" s="7" t="s">
        <v>77</v>
      </c>
      <c r="I117" s="7"/>
      <c r="J117" s="7"/>
      <c r="K117" s="7"/>
      <c r="L117" s="7"/>
    </row>
    <row r="118">
      <c r="A118" s="7"/>
      <c r="B118" s="7" t="s">
        <v>78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 t="s">
        <v>70</v>
      </c>
      <c r="E119" s="7"/>
      <c r="F119" s="7"/>
      <c r="G119" s="7" t="s">
        <v>79</v>
      </c>
      <c r="H119" s="7" t="s">
        <v>80</v>
      </c>
      <c r="I119" s="7"/>
      <c r="J119" s="7"/>
      <c r="K119" s="7"/>
      <c r="L119" s="7"/>
    </row>
    <row r="120">
      <c r="A120" s="7"/>
      <c r="B120" s="7" t="s">
        <v>52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 t="s">
        <v>35</v>
      </c>
      <c r="C121" s="7" t="s">
        <v>81</v>
      </c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 t="s">
        <v>70</v>
      </c>
      <c r="E122" s="7"/>
      <c r="F122" s="7"/>
      <c r="G122" s="7" t="s">
        <v>82</v>
      </c>
      <c r="H122" s="7" t="s">
        <v>83</v>
      </c>
      <c r="I122" s="7"/>
      <c r="J122" s="7"/>
      <c r="K122" s="7"/>
      <c r="L122" s="7"/>
    </row>
    <row r="123">
      <c r="A123" s="7"/>
      <c r="B123" s="7" t="s">
        <v>78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 t="s">
        <v>70</v>
      </c>
      <c r="E124" s="7"/>
      <c r="F124" s="7"/>
      <c r="G124" s="7" t="s">
        <v>84</v>
      </c>
      <c r="H124" s="7" t="s">
        <v>85</v>
      </c>
      <c r="I124" s="7"/>
      <c r="J124" s="7"/>
      <c r="K124" s="7"/>
      <c r="L124" s="7"/>
    </row>
    <row r="125">
      <c r="A125" s="7"/>
      <c r="B125" s="7" t="s">
        <v>52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 t="s">
        <v>70</v>
      </c>
      <c r="E126"/>
      <c r="F126" s="7"/>
      <c r="G126" s="7" t="s">
        <v>86</v>
      </c>
      <c r="H126" s="7" t="s">
        <v>87</v>
      </c>
      <c r="I126" s="7"/>
      <c r="J126" s="7"/>
      <c r="K126" s="7"/>
      <c r="L126" s="7"/>
    </row>
    <row r="127">
      <c r="A127" s="7"/>
      <c r="B127" s="7"/>
      <c r="C127" s="7"/>
      <c r="D127" s="7" t="s">
        <v>70</v>
      </c>
      <c r="E127" s="7"/>
      <c r="F127" s="7"/>
      <c r="G127" s="7" t="s">
        <v>88</v>
      </c>
      <c r="H127" s="7" t="s">
        <v>89</v>
      </c>
      <c r="I127" s="7"/>
      <c r="J127" s="7"/>
      <c r="K127" s="7"/>
      <c r="L127" s="7"/>
    </row>
    <row r="128" s="2" customFormat="1">
      <c r="A128" s="7"/>
      <c r="B128" s="7"/>
      <c r="C128" s="7"/>
      <c r="D128" s="7" t="s">
        <v>70</v>
      </c>
      <c r="E128" s="7"/>
      <c r="F128" s="7"/>
      <c r="G128" s="7" t="s">
        <v>90</v>
      </c>
      <c r="H128" s="7" t="s">
        <v>91</v>
      </c>
      <c r="I128" s="7"/>
      <c r="J128" s="7"/>
      <c r="K128" s="7"/>
      <c r="L128" s="7"/>
      <c r="O128" s="6"/>
    </row>
    <row r="129">
      <c r="A129" s="7"/>
      <c r="B129" s="7"/>
      <c r="C129" s="7"/>
      <c r="D129" s="7" t="s">
        <v>38</v>
      </c>
      <c r="E129" s="7"/>
      <c r="F129" s="7" t="s">
        <v>92</v>
      </c>
      <c r="G129" s="7"/>
      <c r="H129" s="7"/>
      <c r="I129" s="7" t="s">
        <v>113</v>
      </c>
      <c r="J129" s="7"/>
      <c r="K129" s="7"/>
      <c r="L129" s="7"/>
    </row>
    <row r="130">
      <c r="A130" s="7"/>
      <c r="B130" s="7" t="s">
        <v>51</v>
      </c>
      <c r="C130" s="7"/>
      <c r="D130" s="7"/>
      <c r="E130" s="7"/>
      <c r="F130" s="7"/>
      <c r="G130" s="9"/>
      <c r="H130" s="7"/>
      <c r="I130" s="7"/>
      <c r="J130" s="7"/>
      <c r="K130" s="7"/>
      <c r="L130" s="7"/>
    </row>
    <row r="131">
      <c r="A131" s="7"/>
      <c r="B131" s="7" t="s">
        <v>35</v>
      </c>
      <c r="C131" s="7" t="s">
        <v>114</v>
      </c>
      <c r="D131" s="7"/>
      <c r="E131" s="7"/>
      <c r="F131" s="7"/>
      <c r="G131" s="9"/>
      <c r="H131" s="7"/>
      <c r="I131" s="7"/>
      <c r="J131" s="7"/>
      <c r="K131" s="7"/>
      <c r="L131" s="7"/>
    </row>
    <row r="132">
      <c r="A132" s="7"/>
      <c r="B132" s="7" t="s">
        <v>37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 t="s">
        <v>35</v>
      </c>
      <c r="C133" s="7" t="s">
        <v>95</v>
      </c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 t="s">
        <v>70</v>
      </c>
      <c r="E134" s="7"/>
      <c r="F134" s="7"/>
      <c r="G134" s="7" t="s">
        <v>96</v>
      </c>
      <c r="H134" s="7" t="s">
        <v>97</v>
      </c>
      <c r="I134" s="7"/>
      <c r="J134" s="7"/>
      <c r="K134" s="7"/>
      <c r="L134" s="7"/>
    </row>
    <row r="135">
      <c r="A135" s="7"/>
      <c r="B135" s="7"/>
      <c r="C135" s="7"/>
      <c r="D135" s="7" t="s">
        <v>38</v>
      </c>
      <c r="E135" s="7"/>
      <c r="F135" s="7" t="s">
        <v>115</v>
      </c>
      <c r="G135" s="7"/>
      <c r="H135" s="7"/>
      <c r="I135" s="7">
        <v>7</v>
      </c>
      <c r="J135" s="7"/>
      <c r="K135" s="7"/>
      <c r="L135" s="7"/>
    </row>
    <row r="136">
      <c r="A136" s="7"/>
      <c r="B136" s="7" t="s">
        <v>78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 t="s">
        <v>62</v>
      </c>
      <c r="E137" s="7" t="s">
        <v>63</v>
      </c>
      <c r="F137" s="7" t="s">
        <v>115</v>
      </c>
      <c r="G137" s="3" t="s">
        <v>99</v>
      </c>
      <c r="H137" s="3" t="s">
        <v>100</v>
      </c>
      <c r="I137" s="7"/>
      <c r="J137" s="7" t="s">
        <v>67</v>
      </c>
      <c r="K137" t="s">
        <v>68</v>
      </c>
      <c r="L137" s="7"/>
    </row>
    <row r="138">
      <c r="A138" s="7"/>
      <c r="B138" s="7" t="s">
        <v>35</v>
      </c>
      <c r="C138" s="7" t="s">
        <v>116</v>
      </c>
      <c r="D138" s="7"/>
      <c r="E138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 t="s">
        <v>70</v>
      </c>
      <c r="E139"/>
      <c r="F139" s="7"/>
      <c r="G139" s="7" t="s">
        <v>71</v>
      </c>
      <c r="H139" s="7" t="s">
        <v>72</v>
      </c>
      <c r="I139" s="7"/>
      <c r="J139" s="7"/>
      <c r="K139" s="7"/>
      <c r="L139" s="7"/>
    </row>
    <row r="140">
      <c r="A140" s="7"/>
      <c r="B140" s="7"/>
      <c r="C140" s="7"/>
      <c r="D140" s="7" t="s">
        <v>38</v>
      </c>
      <c r="E140"/>
      <c r="F140" s="7" t="s">
        <v>115</v>
      </c>
      <c r="G140" s="7"/>
      <c r="H140" s="7"/>
      <c r="I140" s="7">
        <v>4</v>
      </c>
      <c r="J140" s="7"/>
      <c r="K140" s="7"/>
      <c r="L140" s="7"/>
    </row>
    <row r="141">
      <c r="A141" s="7"/>
      <c r="B141" s="7" t="s">
        <v>52</v>
      </c>
      <c r="C141" s="7"/>
      <c r="D141" s="7"/>
      <c r="E141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 t="s">
        <v>70</v>
      </c>
      <c r="E142"/>
      <c r="F142" s="7"/>
      <c r="G142" s="7" t="s">
        <v>73</v>
      </c>
      <c r="H142" s="7" t="s">
        <v>74</v>
      </c>
      <c r="I142" s="7"/>
      <c r="J142" s="7"/>
      <c r="K142" s="7"/>
      <c r="L142" s="7"/>
    </row>
    <row r="143">
      <c r="A143" s="7"/>
      <c r="B143" s="7" t="s">
        <v>35</v>
      </c>
      <c r="C143" s="7" t="s">
        <v>75</v>
      </c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 t="s">
        <v>70</v>
      </c>
      <c r="E144" s="7"/>
      <c r="F144" s="7"/>
      <c r="G144" s="7" t="s">
        <v>76</v>
      </c>
      <c r="H144" s="7" t="s">
        <v>77</v>
      </c>
      <c r="I144" s="7"/>
      <c r="J144" s="7"/>
      <c r="K144" s="7"/>
      <c r="L144" s="7"/>
    </row>
    <row r="145">
      <c r="A145" s="7"/>
      <c r="B145" s="7" t="s">
        <v>78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 t="s">
        <v>70</v>
      </c>
      <c r="E146" s="7"/>
      <c r="F146" s="7"/>
      <c r="G146" s="7" t="s">
        <v>79</v>
      </c>
      <c r="H146" s="7" t="s">
        <v>80</v>
      </c>
      <c r="I146" s="7"/>
      <c r="J146" s="7"/>
      <c r="K146" s="7"/>
      <c r="L146" s="7"/>
    </row>
    <row r="147">
      <c r="A147" s="7"/>
      <c r="B147" s="7" t="s">
        <v>52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 t="s">
        <v>35</v>
      </c>
      <c r="C148" s="7" t="s">
        <v>81</v>
      </c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 t="s">
        <v>70</v>
      </c>
      <c r="E149" s="7"/>
      <c r="F149" s="7"/>
      <c r="G149" s="7" t="s">
        <v>82</v>
      </c>
      <c r="H149" s="7" t="s">
        <v>83</v>
      </c>
      <c r="I149" s="7"/>
      <c r="J149" s="7"/>
      <c r="K149" s="7"/>
      <c r="L149" s="7"/>
    </row>
    <row r="150">
      <c r="A150" s="7"/>
      <c r="B150" s="7" t="s">
        <v>78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 t="s">
        <v>70</v>
      </c>
      <c r="E151" s="7"/>
      <c r="F151" s="7"/>
      <c r="G151" s="7" t="s">
        <v>84</v>
      </c>
      <c r="H151" s="7" t="s">
        <v>85</v>
      </c>
      <c r="I151" s="7"/>
      <c r="J151" s="7"/>
      <c r="K151" s="7"/>
      <c r="L151" s="7"/>
    </row>
    <row r="152">
      <c r="A152" s="7"/>
      <c r="B152" s="7" t="s">
        <v>52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 t="s">
        <v>70</v>
      </c>
      <c r="E153"/>
      <c r="F153" s="7"/>
      <c r="G153" s="7" t="s">
        <v>86</v>
      </c>
      <c r="H153" s="7" t="s">
        <v>87</v>
      </c>
      <c r="I153" s="7"/>
      <c r="J153" s="7"/>
      <c r="K153" s="7"/>
      <c r="L153" s="7"/>
    </row>
    <row r="154">
      <c r="A154" s="7"/>
      <c r="B154" s="7"/>
      <c r="C154" s="7"/>
      <c r="D154" s="7" t="s">
        <v>70</v>
      </c>
      <c r="E154" s="7"/>
      <c r="F154" s="7"/>
      <c r="G154" s="7" t="s">
        <v>88</v>
      </c>
      <c r="H154" s="7" t="s">
        <v>89</v>
      </c>
      <c r="I154" s="7"/>
      <c r="J154" s="7"/>
      <c r="K154" s="7"/>
      <c r="L154" s="7"/>
    </row>
    <row r="155">
      <c r="A155" s="7"/>
      <c r="B155" s="7"/>
      <c r="C155" s="7"/>
      <c r="D155" s="7" t="s">
        <v>70</v>
      </c>
      <c r="E155" s="7"/>
      <c r="F155" s="7"/>
      <c r="G155" s="7" t="s">
        <v>90</v>
      </c>
      <c r="H155" s="7" t="s">
        <v>91</v>
      </c>
      <c r="I155" s="7"/>
      <c r="J155" s="7"/>
      <c r="K155" s="7"/>
      <c r="L155" s="7"/>
    </row>
    <row r="156">
      <c r="A156" s="7"/>
      <c r="B156" s="7"/>
      <c r="C156" s="7"/>
      <c r="D156" s="7" t="s">
        <v>38</v>
      </c>
      <c r="E156" s="7"/>
      <c r="F156" s="7" t="s">
        <v>92</v>
      </c>
      <c r="G156" s="7"/>
      <c r="H156" s="7"/>
      <c r="I156" s="7" t="s">
        <v>113</v>
      </c>
      <c r="J156" s="7"/>
      <c r="K156" s="7"/>
      <c r="L156" s="7"/>
    </row>
    <row r="157">
      <c r="A157" s="7"/>
      <c r="B157" s="7" t="s">
        <v>52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 t="s">
        <v>51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 t="s">
        <v>35</v>
      </c>
      <c r="C159" s="7" t="s">
        <v>117</v>
      </c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 t="s">
        <v>37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 t="s">
        <v>35</v>
      </c>
      <c r="C161" s="7" t="s">
        <v>103</v>
      </c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 t="s">
        <v>70</v>
      </c>
      <c r="E162" s="7"/>
      <c r="F162" s="7"/>
      <c r="G162" s="7" t="s">
        <v>104</v>
      </c>
      <c r="H162" s="7" t="s">
        <v>105</v>
      </c>
      <c r="I162" s="7"/>
      <c r="J162" s="7"/>
      <c r="K162" s="7"/>
      <c r="L162" s="7"/>
    </row>
    <row r="163">
      <c r="A163" s="7"/>
      <c r="B163" s="7"/>
      <c r="C163" s="7"/>
      <c r="D163" s="7" t="s">
        <v>38</v>
      </c>
      <c r="E163" s="7"/>
      <c r="F163" s="7" t="s">
        <v>118</v>
      </c>
      <c r="G163" s="7"/>
      <c r="H163" s="7"/>
      <c r="I163" s="7">
        <v>7</v>
      </c>
      <c r="J163" s="7"/>
      <c r="K163" s="7"/>
      <c r="L163" s="7"/>
    </row>
    <row r="164">
      <c r="A164" s="7"/>
      <c r="B164" s="7" t="s">
        <v>78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 t="s">
        <v>62</v>
      </c>
      <c r="E165" s="7" t="s">
        <v>63</v>
      </c>
      <c r="F165" s="7" t="s">
        <v>118</v>
      </c>
      <c r="G165" s="3" t="s">
        <v>107</v>
      </c>
      <c r="H165" s="3" t="s">
        <v>108</v>
      </c>
      <c r="I165" s="7"/>
      <c r="J165" s="7" t="s">
        <v>67</v>
      </c>
      <c r="K165" t="s">
        <v>68</v>
      </c>
      <c r="L165" s="7"/>
    </row>
    <row r="166">
      <c r="A166" s="7"/>
      <c r="B166" s="7" t="s">
        <v>35</v>
      </c>
      <c r="C166" s="7" t="s">
        <v>119</v>
      </c>
      <c r="D166" s="7"/>
      <c r="E166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 t="s">
        <v>70</v>
      </c>
      <c r="E167"/>
      <c r="F167" s="7"/>
      <c r="G167" s="7" t="s">
        <v>71</v>
      </c>
      <c r="H167" s="7" t="s">
        <v>72</v>
      </c>
      <c r="I167" s="7"/>
      <c r="J167" s="7"/>
      <c r="K167" s="7"/>
      <c r="L167" s="7"/>
    </row>
    <row r="168">
      <c r="A168" s="7"/>
      <c r="B168" s="7"/>
      <c r="C168" s="7"/>
      <c r="D168" s="7" t="s">
        <v>38</v>
      </c>
      <c r="E168"/>
      <c r="F168" s="7" t="s">
        <v>118</v>
      </c>
      <c r="G168" s="7"/>
      <c r="H168" s="7"/>
      <c r="I168" s="7">
        <v>4</v>
      </c>
      <c r="J168" s="7"/>
      <c r="K168" s="7"/>
      <c r="L168" s="7"/>
    </row>
    <row r="169">
      <c r="A169" s="7"/>
      <c r="B169" s="7" t="s">
        <v>52</v>
      </c>
      <c r="C169" s="7"/>
      <c r="D169" s="7"/>
      <c r="E169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 t="s">
        <v>70</v>
      </c>
      <c r="E170"/>
      <c r="F170" s="7"/>
      <c r="G170" s="7" t="s">
        <v>73</v>
      </c>
      <c r="H170" s="7" t="s">
        <v>74</v>
      </c>
      <c r="I170" s="7"/>
      <c r="J170" s="7"/>
      <c r="K170" s="7"/>
      <c r="L170" s="7"/>
    </row>
    <row r="171">
      <c r="A171" s="7"/>
      <c r="B171" s="7" t="s">
        <v>35</v>
      </c>
      <c r="C171" s="7" t="s">
        <v>75</v>
      </c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 t="s">
        <v>70</v>
      </c>
      <c r="E172" s="7"/>
      <c r="F172" s="7"/>
      <c r="G172" s="7" t="s">
        <v>76</v>
      </c>
      <c r="H172" s="7" t="s">
        <v>77</v>
      </c>
      <c r="I172" s="7"/>
      <c r="J172" s="7"/>
      <c r="K172" s="7"/>
      <c r="L172" s="7"/>
    </row>
    <row r="173">
      <c r="A173" s="7"/>
      <c r="B173" s="7" t="s">
        <v>78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 t="s">
        <v>70</v>
      </c>
      <c r="E174" s="7"/>
      <c r="F174" s="7"/>
      <c r="G174" s="7" t="s">
        <v>79</v>
      </c>
      <c r="H174" s="7" t="s">
        <v>80</v>
      </c>
      <c r="I174" s="7"/>
      <c r="J174" s="7"/>
      <c r="K174" s="7"/>
      <c r="L174" s="7"/>
    </row>
    <row r="175">
      <c r="A175" s="7"/>
      <c r="B175" s="7" t="s">
        <v>52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 t="s">
        <v>35</v>
      </c>
      <c r="C176" s="7" t="s">
        <v>81</v>
      </c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 t="s">
        <v>70</v>
      </c>
      <c r="E177" s="7"/>
      <c r="F177" s="7"/>
      <c r="G177" s="7" t="s">
        <v>82</v>
      </c>
      <c r="H177" s="7" t="s">
        <v>83</v>
      </c>
      <c r="I177" s="7"/>
      <c r="J177" s="7"/>
      <c r="K177" s="7"/>
      <c r="L177" s="7"/>
    </row>
    <row r="178">
      <c r="A178" s="7"/>
      <c r="B178" s="7" t="s">
        <v>78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 t="s">
        <v>70</v>
      </c>
      <c r="E179" s="7"/>
      <c r="F179" s="7"/>
      <c r="G179" s="7" t="s">
        <v>84</v>
      </c>
      <c r="H179" s="7" t="s">
        <v>85</v>
      </c>
      <c r="I179" s="7"/>
      <c r="J179" s="7"/>
      <c r="K179" s="7"/>
      <c r="L179" s="7"/>
    </row>
    <row r="180">
      <c r="A180" s="7"/>
      <c r="B180" s="7" t="s">
        <v>52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 t="s">
        <v>70</v>
      </c>
      <c r="E181"/>
      <c r="F181" s="7"/>
      <c r="G181" s="7" t="s">
        <v>86</v>
      </c>
      <c r="H181" s="7" t="s">
        <v>87</v>
      </c>
      <c r="I181" s="7"/>
      <c r="J181" s="7"/>
      <c r="K181" s="7"/>
      <c r="L181" s="7"/>
    </row>
    <row r="182" ht="14.25">
      <c r="A182" s="7"/>
      <c r="B182" s="7"/>
      <c r="C182" s="7"/>
      <c r="D182" s="7" t="s">
        <v>70</v>
      </c>
      <c r="E182" s="7"/>
      <c r="F182" s="7"/>
      <c r="G182" s="7" t="s">
        <v>88</v>
      </c>
      <c r="H182" s="7" t="s">
        <v>89</v>
      </c>
      <c r="I182" s="7"/>
      <c r="J182" s="7"/>
      <c r="K182" s="7"/>
      <c r="L182" s="7"/>
    </row>
    <row r="183" ht="14.25">
      <c r="A183" s="7"/>
      <c r="B183" s="7"/>
      <c r="C183" s="7"/>
      <c r="D183" s="7" t="s">
        <v>70</v>
      </c>
      <c r="E183" s="7"/>
      <c r="F183" s="7"/>
      <c r="G183" s="7" t="s">
        <v>90</v>
      </c>
      <c r="H183" s="7" t="s">
        <v>91</v>
      </c>
      <c r="I183" s="7"/>
      <c r="J183" s="7"/>
      <c r="K183" s="7"/>
      <c r="L183" s="7"/>
    </row>
    <row r="184" ht="14.25">
      <c r="A184" s="7"/>
      <c r="B184" s="7"/>
      <c r="C184" s="7"/>
      <c r="D184" s="7" t="s">
        <v>38</v>
      </c>
      <c r="E184" s="7"/>
      <c r="F184" s="7" t="s">
        <v>92</v>
      </c>
      <c r="G184" s="7"/>
      <c r="H184" s="7"/>
      <c r="I184" s="7" t="s">
        <v>113</v>
      </c>
      <c r="J184" s="7"/>
      <c r="K184" s="7"/>
      <c r="L184" s="7"/>
    </row>
    <row r="185" ht="14.25">
      <c r="A185" s="7"/>
      <c r="B185" s="7" t="s">
        <v>52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4.25">
      <c r="A186" s="7"/>
      <c r="B186" s="7" t="s">
        <v>51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4.25">
      <c r="A187" s="7"/>
      <c r="B187" s="7" t="s">
        <v>52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4.25">
      <c r="A188" s="7"/>
      <c r="B188" s="7" t="s">
        <v>52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4.25">
      <c r="A189" s="7"/>
      <c r="B189" s="7" t="s">
        <v>52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4.25">
      <c r="A190" s="8" t="s">
        <v>57</v>
      </c>
      <c r="B190" t="s">
        <v>35</v>
      </c>
      <c r="C190" t="s">
        <v>120</v>
      </c>
      <c r="D190"/>
      <c r="E190"/>
      <c r="F190"/>
      <c r="G190"/>
      <c r="H190"/>
      <c r="I190"/>
      <c r="J190"/>
      <c r="K190"/>
      <c r="L190"/>
    </row>
    <row r="191" ht="14.25">
      <c r="A191" s="7"/>
      <c r="B191" s="7" t="s">
        <v>37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4.25">
      <c r="A192" s="7"/>
      <c r="B192" s="7"/>
      <c r="C192" s="7"/>
      <c r="D192" s="7" t="s">
        <v>62</v>
      </c>
      <c r="E192" t="s">
        <v>63</v>
      </c>
      <c r="F192" s="7" t="s">
        <v>121</v>
      </c>
      <c r="G192" s="3" t="s">
        <v>65</v>
      </c>
      <c r="H192" s="3" t="s">
        <v>66</v>
      </c>
      <c r="I192" s="7"/>
      <c r="J192" s="7" t="s">
        <v>67</v>
      </c>
      <c r="K192" t="s">
        <v>68</v>
      </c>
      <c r="L192" s="7"/>
    </row>
    <row r="193" ht="14.25">
      <c r="A193" s="7"/>
      <c r="B193" s="7" t="s">
        <v>35</v>
      </c>
      <c r="C193" s="7" t="s">
        <v>122</v>
      </c>
      <c r="D193" s="7"/>
      <c r="E193"/>
      <c r="F193" s="7"/>
      <c r="G193" s="7"/>
      <c r="H193" s="7"/>
      <c r="I193" s="7"/>
      <c r="J193" s="7"/>
      <c r="K193" s="7"/>
      <c r="L193" s="7"/>
    </row>
    <row r="194" ht="14.25">
      <c r="A194" s="7"/>
      <c r="B194" s="7"/>
      <c r="C194" s="7"/>
      <c r="D194" s="7" t="s">
        <v>70</v>
      </c>
      <c r="E194"/>
      <c r="F194" s="7"/>
      <c r="G194" s="7" t="s">
        <v>71</v>
      </c>
      <c r="H194" s="7" t="s">
        <v>72</v>
      </c>
      <c r="I194" s="7"/>
      <c r="J194" s="7"/>
      <c r="K194" s="7"/>
      <c r="L194" s="7"/>
    </row>
    <row r="195" ht="14.25">
      <c r="A195" s="7"/>
      <c r="B195" s="7"/>
      <c r="C195" s="7"/>
      <c r="D195" s="7" t="s">
        <v>38</v>
      </c>
      <c r="E195"/>
      <c r="F195" s="7" t="s">
        <v>121</v>
      </c>
      <c r="G195" s="7"/>
      <c r="H195" s="7"/>
      <c r="I195" s="7">
        <v>4</v>
      </c>
      <c r="J195" s="7"/>
      <c r="K195" s="7"/>
      <c r="L195" s="7"/>
    </row>
    <row r="196" ht="14.25">
      <c r="A196" s="7"/>
      <c r="B196" s="7" t="s">
        <v>52</v>
      </c>
      <c r="C196" s="7"/>
      <c r="D196" s="7"/>
      <c r="E196"/>
      <c r="F196" s="7"/>
      <c r="G196" s="7"/>
      <c r="H196" s="7"/>
      <c r="I196" s="7"/>
      <c r="J196" s="7"/>
      <c r="K196" s="7"/>
      <c r="L196" s="7"/>
    </row>
    <row r="197" ht="14.25">
      <c r="A197" s="7"/>
      <c r="B197" s="7"/>
      <c r="C197" s="7"/>
      <c r="D197" s="7" t="s">
        <v>70</v>
      </c>
      <c r="E197"/>
      <c r="F197" s="7"/>
      <c r="G197" s="7" t="s">
        <v>73</v>
      </c>
      <c r="H197" s="7" t="s">
        <v>74</v>
      </c>
      <c r="I197" s="7"/>
      <c r="J197" s="7"/>
      <c r="K197" s="7"/>
      <c r="L197" s="7"/>
    </row>
    <row r="198" ht="14.25">
      <c r="A198" s="7"/>
      <c r="B198" s="7" t="s">
        <v>35</v>
      </c>
      <c r="C198" s="7" t="s">
        <v>75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4.25">
      <c r="A199" s="7"/>
      <c r="B199" s="7"/>
      <c r="C199" s="7"/>
      <c r="D199" s="7" t="s">
        <v>70</v>
      </c>
      <c r="E199" s="7"/>
      <c r="F199" s="7"/>
      <c r="G199" s="7" t="s">
        <v>76</v>
      </c>
      <c r="H199" s="7" t="s">
        <v>77</v>
      </c>
      <c r="I199" s="7"/>
      <c r="J199" s="7"/>
      <c r="K199" s="7"/>
      <c r="L199" s="7"/>
    </row>
    <row r="200" ht="14.25">
      <c r="A200" s="7"/>
      <c r="B200" s="7" t="s">
        <v>78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4.25">
      <c r="A201" s="7"/>
      <c r="B201" s="7"/>
      <c r="C201" s="7"/>
      <c r="D201" s="7" t="s">
        <v>70</v>
      </c>
      <c r="E201" s="7"/>
      <c r="F201" s="7"/>
      <c r="G201" s="7" t="s">
        <v>79</v>
      </c>
      <c r="H201" s="7" t="s">
        <v>80</v>
      </c>
      <c r="I201" s="7"/>
      <c r="J201" s="7"/>
      <c r="K201" s="7"/>
      <c r="L201" s="7"/>
    </row>
    <row r="202" ht="14.25">
      <c r="A202" s="7"/>
      <c r="B202" s="7" t="s">
        <v>52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4.25">
      <c r="A203" s="7"/>
      <c r="B203" s="7" t="s">
        <v>35</v>
      </c>
      <c r="C203" s="7" t="s">
        <v>81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4.25">
      <c r="A204" s="7"/>
      <c r="B204" s="7"/>
      <c r="C204" s="7"/>
      <c r="D204" s="7" t="s">
        <v>70</v>
      </c>
      <c r="E204" s="7"/>
      <c r="F204" s="7"/>
      <c r="G204" s="7" t="s">
        <v>82</v>
      </c>
      <c r="H204" s="7" t="s">
        <v>83</v>
      </c>
      <c r="I204" s="7"/>
      <c r="J204" s="7"/>
      <c r="K204" s="7"/>
      <c r="L204" s="7"/>
    </row>
    <row r="205" ht="14.25">
      <c r="A205" s="7"/>
      <c r="B205" s="7" t="s">
        <v>78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4.25">
      <c r="A206" s="7"/>
      <c r="B206" s="7"/>
      <c r="C206" s="7"/>
      <c r="D206" s="7" t="s">
        <v>70</v>
      </c>
      <c r="E206" s="7"/>
      <c r="F206" s="7"/>
      <c r="G206" s="7" t="s">
        <v>84</v>
      </c>
      <c r="H206" s="7" t="s">
        <v>85</v>
      </c>
      <c r="I206" s="7"/>
      <c r="J206" s="7"/>
      <c r="K206" s="7"/>
      <c r="L206" s="7"/>
    </row>
    <row r="207" ht="14.25">
      <c r="A207" s="7"/>
      <c r="B207" s="7" t="s">
        <v>52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4.25">
      <c r="A208" s="7"/>
      <c r="B208" s="7"/>
      <c r="C208" s="7"/>
      <c r="D208" s="7" t="s">
        <v>70</v>
      </c>
      <c r="E208"/>
      <c r="F208" s="7"/>
      <c r="G208" s="7" t="s">
        <v>86</v>
      </c>
      <c r="H208" s="7" t="s">
        <v>87</v>
      </c>
      <c r="I208" s="7"/>
      <c r="J208" s="7"/>
      <c r="K208" s="7"/>
      <c r="L208" s="7"/>
    </row>
    <row r="209" ht="14.25">
      <c r="A209" s="7"/>
      <c r="B209" s="7"/>
      <c r="C209" s="7"/>
      <c r="D209" s="7" t="s">
        <v>70</v>
      </c>
      <c r="E209" s="7"/>
      <c r="F209" s="7"/>
      <c r="G209" s="7" t="s">
        <v>88</v>
      </c>
      <c r="H209" s="7" t="s">
        <v>89</v>
      </c>
      <c r="I209" s="7"/>
      <c r="J209" s="7"/>
      <c r="K209" s="7"/>
      <c r="L209" s="7"/>
    </row>
    <row r="210" ht="14.25">
      <c r="A210" s="7"/>
      <c r="B210" s="7"/>
      <c r="C210" s="7"/>
      <c r="D210" s="7" t="s">
        <v>70</v>
      </c>
      <c r="E210" s="7"/>
      <c r="F210" s="7"/>
      <c r="G210" s="7" t="s">
        <v>90</v>
      </c>
      <c r="H210" s="7" t="s">
        <v>91</v>
      </c>
      <c r="I210" s="7"/>
      <c r="J210" s="7"/>
      <c r="K210" s="7"/>
      <c r="L210" s="7"/>
    </row>
    <row r="211" ht="14.25">
      <c r="A211" s="7"/>
      <c r="B211" s="7"/>
      <c r="C211" s="7"/>
      <c r="D211" s="7" t="s">
        <v>38</v>
      </c>
      <c r="E211" s="7"/>
      <c r="F211" s="7" t="s">
        <v>92</v>
      </c>
      <c r="G211" s="7"/>
      <c r="H211" s="7"/>
      <c r="I211" s="7" t="s">
        <v>123</v>
      </c>
      <c r="J211" s="7"/>
      <c r="K211" s="7"/>
      <c r="L211" s="7"/>
    </row>
    <row r="212" ht="14.25">
      <c r="A212" s="7"/>
      <c r="B212" s="7" t="s">
        <v>51</v>
      </c>
      <c r="C212" s="7"/>
      <c r="D212" s="7"/>
      <c r="E212" s="7"/>
      <c r="F212" s="7"/>
      <c r="G212" s="9"/>
      <c r="H212" s="7"/>
      <c r="I212" s="7"/>
      <c r="J212" s="7"/>
      <c r="K212" s="7"/>
      <c r="L212" s="7"/>
    </row>
    <row r="213" ht="14.25">
      <c r="A213" s="7"/>
      <c r="B213" s="7" t="s">
        <v>35</v>
      </c>
      <c r="C213" s="7" t="s">
        <v>124</v>
      </c>
      <c r="D213" s="7"/>
      <c r="E213" s="7"/>
      <c r="F213" s="7"/>
      <c r="G213" s="9"/>
      <c r="H213" s="7"/>
      <c r="I213" s="7"/>
      <c r="J213" s="7"/>
      <c r="K213" s="7"/>
      <c r="L213" s="7"/>
    </row>
    <row r="214" ht="14.25">
      <c r="A214" s="7"/>
      <c r="B214" s="7" t="s">
        <v>37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4.25">
      <c r="A215" s="7"/>
      <c r="B215" s="7" t="s">
        <v>35</v>
      </c>
      <c r="C215" s="7" t="s">
        <v>95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4.25">
      <c r="A216" s="7"/>
      <c r="B216" s="7"/>
      <c r="C216" s="7"/>
      <c r="D216" s="7" t="s">
        <v>70</v>
      </c>
      <c r="E216" s="7"/>
      <c r="F216" s="7"/>
      <c r="G216" s="7" t="s">
        <v>96</v>
      </c>
      <c r="H216" s="7" t="s">
        <v>97</v>
      </c>
      <c r="I216" s="7"/>
      <c r="J216" s="7"/>
      <c r="K216" s="7"/>
      <c r="L216" s="7"/>
    </row>
    <row r="217" ht="14.25">
      <c r="A217" s="7"/>
      <c r="B217" s="7"/>
      <c r="C217" s="7"/>
      <c r="D217" s="7" t="s">
        <v>38</v>
      </c>
      <c r="E217" s="7"/>
      <c r="F217" s="7" t="s">
        <v>125</v>
      </c>
      <c r="G217" s="7"/>
      <c r="H217" s="7"/>
      <c r="I217" s="7">
        <v>7</v>
      </c>
      <c r="J217" s="7"/>
      <c r="K217" s="7"/>
      <c r="L217" s="7"/>
    </row>
    <row r="218" ht="14.25">
      <c r="A218" s="7"/>
      <c r="B218" s="7" t="s">
        <v>78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4.25">
      <c r="A219" s="7"/>
      <c r="B219" s="7"/>
      <c r="C219" s="7"/>
      <c r="D219" s="7" t="s">
        <v>62</v>
      </c>
      <c r="E219" s="7" t="s">
        <v>63</v>
      </c>
      <c r="F219" s="7" t="s">
        <v>125</v>
      </c>
      <c r="G219" s="3" t="s">
        <v>99</v>
      </c>
      <c r="H219" s="3" t="s">
        <v>100</v>
      </c>
      <c r="I219" s="7"/>
      <c r="J219" s="7" t="s">
        <v>67</v>
      </c>
      <c r="K219" t="s">
        <v>68</v>
      </c>
      <c r="L219" s="7"/>
    </row>
    <row r="220" ht="14.25">
      <c r="A220" s="7"/>
      <c r="B220" s="7" t="s">
        <v>35</v>
      </c>
      <c r="C220" s="7" t="s">
        <v>126</v>
      </c>
      <c r="D220" s="7"/>
      <c r="E220"/>
      <c r="F220" s="7"/>
      <c r="G220" s="7"/>
      <c r="H220" s="7"/>
      <c r="I220" s="7"/>
      <c r="J220" s="7"/>
      <c r="K220" s="7"/>
      <c r="L220" s="7"/>
    </row>
    <row r="221" ht="14.25">
      <c r="A221" s="7"/>
      <c r="B221" s="7"/>
      <c r="C221" s="7"/>
      <c r="D221" s="7" t="s">
        <v>70</v>
      </c>
      <c r="E221"/>
      <c r="F221" s="7"/>
      <c r="G221" s="7" t="s">
        <v>71</v>
      </c>
      <c r="H221" s="7" t="s">
        <v>72</v>
      </c>
      <c r="I221" s="7"/>
      <c r="J221" s="7"/>
      <c r="K221" s="7"/>
      <c r="L221" s="7"/>
    </row>
    <row r="222" ht="14.25">
      <c r="A222" s="7"/>
      <c r="B222" s="7"/>
      <c r="C222" s="7"/>
      <c r="D222" s="7" t="s">
        <v>38</v>
      </c>
      <c r="E222"/>
      <c r="F222" s="7" t="s">
        <v>125</v>
      </c>
      <c r="G222" s="7"/>
      <c r="H222" s="7"/>
      <c r="I222" s="7">
        <v>4</v>
      </c>
      <c r="J222" s="7"/>
      <c r="K222" s="7"/>
      <c r="L222" s="7"/>
    </row>
    <row r="223" ht="14.25">
      <c r="A223" s="7"/>
      <c r="B223" s="7" t="s">
        <v>52</v>
      </c>
      <c r="C223" s="7"/>
      <c r="D223" s="7"/>
      <c r="E223"/>
      <c r="F223" s="7"/>
      <c r="G223" s="7"/>
      <c r="H223" s="7"/>
      <c r="I223" s="7"/>
      <c r="J223" s="7"/>
      <c r="K223" s="7"/>
      <c r="L223" s="7"/>
    </row>
    <row r="224" ht="14.25">
      <c r="A224" s="7"/>
      <c r="B224" s="7"/>
      <c r="C224" s="7"/>
      <c r="D224" s="7" t="s">
        <v>70</v>
      </c>
      <c r="E224"/>
      <c r="F224" s="7"/>
      <c r="G224" s="7" t="s">
        <v>73</v>
      </c>
      <c r="H224" s="7" t="s">
        <v>74</v>
      </c>
      <c r="I224" s="7"/>
      <c r="J224" s="7"/>
      <c r="K224" s="7"/>
      <c r="L224" s="7"/>
    </row>
    <row r="225" ht="14.25">
      <c r="A225" s="7"/>
      <c r="B225" s="7" t="s">
        <v>35</v>
      </c>
      <c r="C225" s="7" t="s">
        <v>75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4.25">
      <c r="A226" s="7"/>
      <c r="B226" s="7"/>
      <c r="C226" s="7"/>
      <c r="D226" s="7" t="s">
        <v>70</v>
      </c>
      <c r="E226" s="7"/>
      <c r="F226" s="7"/>
      <c r="G226" s="7" t="s">
        <v>76</v>
      </c>
      <c r="H226" s="7" t="s">
        <v>77</v>
      </c>
      <c r="I226" s="7"/>
      <c r="J226" s="7"/>
      <c r="K226" s="7"/>
      <c r="L226" s="7"/>
    </row>
    <row r="227" ht="14.25">
      <c r="A227" s="7"/>
      <c r="B227" s="7" t="s">
        <v>78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4.25">
      <c r="A228" s="7"/>
      <c r="B228" s="7"/>
      <c r="C228" s="7"/>
      <c r="D228" s="7" t="s">
        <v>70</v>
      </c>
      <c r="E228" s="7"/>
      <c r="F228" s="7"/>
      <c r="G228" s="7" t="s">
        <v>79</v>
      </c>
      <c r="H228" s="7" t="s">
        <v>80</v>
      </c>
      <c r="I228" s="7"/>
      <c r="J228" s="7"/>
      <c r="K228" s="7"/>
      <c r="L228" s="7"/>
    </row>
    <row r="229" ht="14.25">
      <c r="A229" s="7"/>
      <c r="B229" s="7" t="s">
        <v>52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4.25">
      <c r="A230" s="7"/>
      <c r="B230" s="7" t="s">
        <v>35</v>
      </c>
      <c r="C230" s="7" t="s">
        <v>81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4.25">
      <c r="A231" s="7"/>
      <c r="B231" s="7"/>
      <c r="C231" s="7"/>
      <c r="D231" s="7" t="s">
        <v>70</v>
      </c>
      <c r="E231" s="7"/>
      <c r="F231" s="7"/>
      <c r="G231" s="7" t="s">
        <v>82</v>
      </c>
      <c r="H231" s="7" t="s">
        <v>83</v>
      </c>
      <c r="I231" s="7"/>
      <c r="J231" s="7"/>
      <c r="K231" s="7"/>
      <c r="L231" s="7"/>
    </row>
    <row r="232" ht="14.25">
      <c r="A232" s="7"/>
      <c r="B232" s="7" t="s">
        <v>78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4.25">
      <c r="A233" s="7"/>
      <c r="B233" s="7"/>
      <c r="C233" s="7"/>
      <c r="D233" s="7" t="s">
        <v>70</v>
      </c>
      <c r="E233" s="7"/>
      <c r="F233" s="7"/>
      <c r="G233" s="7" t="s">
        <v>84</v>
      </c>
      <c r="H233" s="7" t="s">
        <v>85</v>
      </c>
      <c r="I233" s="7"/>
      <c r="J233" s="7"/>
      <c r="K233" s="7"/>
      <c r="L233" s="7"/>
    </row>
    <row r="234" ht="14.25">
      <c r="A234" s="7"/>
      <c r="B234" s="7" t="s">
        <v>52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4.25">
      <c r="A235" s="7"/>
      <c r="B235" s="7"/>
      <c r="C235" s="7"/>
      <c r="D235" s="7" t="s">
        <v>70</v>
      </c>
      <c r="E235"/>
      <c r="F235" s="7"/>
      <c r="G235" s="7" t="s">
        <v>86</v>
      </c>
      <c r="H235" s="7" t="s">
        <v>87</v>
      </c>
      <c r="I235" s="7"/>
      <c r="J235" s="7"/>
      <c r="K235" s="7"/>
      <c r="L235" s="7"/>
    </row>
    <row r="236" ht="14.25">
      <c r="A236" s="7"/>
      <c r="B236" s="7"/>
      <c r="C236" s="7"/>
      <c r="D236" s="7" t="s">
        <v>70</v>
      </c>
      <c r="E236" s="7"/>
      <c r="F236" s="7"/>
      <c r="G236" s="7" t="s">
        <v>88</v>
      </c>
      <c r="H236" s="7" t="s">
        <v>89</v>
      </c>
      <c r="I236" s="7"/>
      <c r="J236" s="7"/>
      <c r="K236" s="7"/>
      <c r="L236" s="7"/>
    </row>
    <row r="237" ht="14.25">
      <c r="A237" s="7"/>
      <c r="B237" s="7"/>
      <c r="C237" s="7"/>
      <c r="D237" s="7" t="s">
        <v>70</v>
      </c>
      <c r="E237" s="7"/>
      <c r="F237" s="7"/>
      <c r="G237" s="7" t="s">
        <v>90</v>
      </c>
      <c r="H237" s="7" t="s">
        <v>91</v>
      </c>
      <c r="I237" s="7"/>
      <c r="J237" s="7"/>
      <c r="K237" s="7"/>
      <c r="L237" s="7"/>
    </row>
    <row r="238" ht="14.25">
      <c r="A238" s="7"/>
      <c r="B238" s="7"/>
      <c r="C238" s="7"/>
      <c r="D238" s="7" t="s">
        <v>38</v>
      </c>
      <c r="E238" s="7"/>
      <c r="F238" s="7" t="s">
        <v>92</v>
      </c>
      <c r="G238" s="7"/>
      <c r="H238" s="7"/>
      <c r="I238" s="7" t="s">
        <v>123</v>
      </c>
      <c r="J238" s="7"/>
      <c r="K238" s="7"/>
      <c r="L238" s="7"/>
    </row>
    <row r="239" ht="14.25">
      <c r="A239" s="7"/>
      <c r="B239" s="7" t="s">
        <v>52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4.25">
      <c r="A240" s="7"/>
      <c r="B240" s="7" t="s">
        <v>51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4.25">
      <c r="A241" s="7"/>
      <c r="B241" s="7" t="s">
        <v>35</v>
      </c>
      <c r="C241" s="7" t="s">
        <v>127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4.25">
      <c r="A242" s="7"/>
      <c r="B242" s="7" t="s">
        <v>37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4.25">
      <c r="A243" s="7"/>
      <c r="B243" s="7" t="s">
        <v>35</v>
      </c>
      <c r="C243" s="7" t="s">
        <v>103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4.25">
      <c r="A244" s="7"/>
      <c r="B244" s="7"/>
      <c r="C244" s="7"/>
      <c r="D244" s="7" t="s">
        <v>70</v>
      </c>
      <c r="E244" s="7"/>
      <c r="F244" s="7"/>
      <c r="G244" s="7" t="s">
        <v>104</v>
      </c>
      <c r="H244" s="7" t="s">
        <v>105</v>
      </c>
      <c r="I244" s="7"/>
      <c r="J244" s="7"/>
      <c r="K244" s="7"/>
      <c r="L244" s="7"/>
    </row>
    <row r="245" ht="14.25">
      <c r="A245" s="7"/>
      <c r="B245" s="7"/>
      <c r="C245" s="7"/>
      <c r="D245" s="7" t="s">
        <v>38</v>
      </c>
      <c r="E245" s="7"/>
      <c r="F245" s="7" t="s">
        <v>128</v>
      </c>
      <c r="G245" s="7"/>
      <c r="H245" s="7"/>
      <c r="I245" s="7">
        <v>7</v>
      </c>
      <c r="J245" s="7"/>
      <c r="K245" s="7"/>
      <c r="L245" s="7"/>
    </row>
    <row r="246" ht="14.25">
      <c r="A246" s="7"/>
      <c r="B246" s="7" t="s">
        <v>78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4.25">
      <c r="A247" s="7"/>
      <c r="B247" s="7"/>
      <c r="C247" s="7"/>
      <c r="D247" s="7" t="s">
        <v>62</v>
      </c>
      <c r="E247" s="7" t="s">
        <v>63</v>
      </c>
      <c r="F247" s="7" t="s">
        <v>128</v>
      </c>
      <c r="G247" s="3" t="s">
        <v>107</v>
      </c>
      <c r="H247" s="3" t="s">
        <v>108</v>
      </c>
      <c r="I247" s="7"/>
      <c r="J247" s="7" t="s">
        <v>67</v>
      </c>
      <c r="K247" t="s">
        <v>68</v>
      </c>
      <c r="L247" s="7"/>
    </row>
    <row r="248" ht="14.25">
      <c r="A248" s="7"/>
      <c r="B248" s="7" t="s">
        <v>35</v>
      </c>
      <c r="C248" s="7" t="s">
        <v>129</v>
      </c>
      <c r="D248" s="7"/>
      <c r="E248"/>
      <c r="F248" s="7"/>
      <c r="G248" s="7"/>
      <c r="H248" s="7"/>
      <c r="I248" s="7"/>
      <c r="J248" s="7"/>
      <c r="K248" s="7"/>
      <c r="L248" s="7"/>
    </row>
    <row r="249" ht="14.25">
      <c r="A249" s="7"/>
      <c r="B249" s="7"/>
      <c r="C249" s="7"/>
      <c r="D249" s="7" t="s">
        <v>70</v>
      </c>
      <c r="E249"/>
      <c r="F249" s="7"/>
      <c r="G249" s="7" t="s">
        <v>71</v>
      </c>
      <c r="H249" s="7" t="s">
        <v>72</v>
      </c>
      <c r="I249" s="7"/>
      <c r="J249" s="7"/>
      <c r="K249" s="7"/>
      <c r="L249" s="7"/>
    </row>
    <row r="250" ht="14.25">
      <c r="A250" s="7"/>
      <c r="B250" s="7"/>
      <c r="C250" s="7"/>
      <c r="D250" s="7" t="s">
        <v>38</v>
      </c>
      <c r="E250"/>
      <c r="F250" s="7" t="s">
        <v>128</v>
      </c>
      <c r="G250" s="7"/>
      <c r="H250" s="7"/>
      <c r="I250" s="7">
        <v>4</v>
      </c>
      <c r="J250" s="7"/>
      <c r="K250" s="7"/>
      <c r="L250" s="7"/>
    </row>
    <row r="251" ht="14.25">
      <c r="A251" s="7"/>
      <c r="B251" s="7" t="s">
        <v>52</v>
      </c>
      <c r="C251" s="7"/>
      <c r="D251" s="7"/>
      <c r="E251"/>
      <c r="F251" s="7"/>
      <c r="G251" s="7"/>
      <c r="H251" s="7"/>
      <c r="I251" s="7"/>
      <c r="J251" s="7"/>
      <c r="K251" s="7"/>
      <c r="L251" s="7"/>
    </row>
    <row r="252" ht="14.25">
      <c r="A252" s="7"/>
      <c r="B252" s="7"/>
      <c r="C252" s="7"/>
      <c r="D252" s="7" t="s">
        <v>70</v>
      </c>
      <c r="E252"/>
      <c r="F252" s="7"/>
      <c r="G252" s="7" t="s">
        <v>73</v>
      </c>
      <c r="H252" s="7" t="s">
        <v>74</v>
      </c>
      <c r="I252" s="7"/>
      <c r="J252" s="7"/>
      <c r="K252" s="7"/>
      <c r="L252" s="7"/>
    </row>
    <row r="253" ht="14.25">
      <c r="A253" s="7"/>
      <c r="B253" s="7" t="s">
        <v>35</v>
      </c>
      <c r="C253" s="7" t="s">
        <v>75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4.25">
      <c r="A254" s="7"/>
      <c r="B254" s="7"/>
      <c r="C254" s="7"/>
      <c r="D254" s="7" t="s">
        <v>70</v>
      </c>
      <c r="E254" s="7"/>
      <c r="F254" s="7"/>
      <c r="G254" s="7" t="s">
        <v>76</v>
      </c>
      <c r="H254" s="7" t="s">
        <v>77</v>
      </c>
      <c r="I254" s="7"/>
      <c r="J254" s="7"/>
      <c r="K254" s="7"/>
      <c r="L254" s="7"/>
    </row>
    <row r="255" ht="14.25">
      <c r="A255" s="7"/>
      <c r="B255" s="7" t="s">
        <v>78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4.25">
      <c r="A256" s="7"/>
      <c r="B256" s="7"/>
      <c r="C256" s="7"/>
      <c r="D256" s="7" t="s">
        <v>70</v>
      </c>
      <c r="E256" s="7"/>
      <c r="F256" s="7"/>
      <c r="G256" s="7" t="s">
        <v>79</v>
      </c>
      <c r="H256" s="7" t="s">
        <v>80</v>
      </c>
      <c r="I256" s="7"/>
      <c r="J256" s="7"/>
      <c r="K256" s="7"/>
      <c r="L256" s="7"/>
    </row>
    <row r="257" ht="14.25">
      <c r="A257" s="7"/>
      <c r="B257" s="7" t="s">
        <v>52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4.25">
      <c r="A258" s="7"/>
      <c r="B258" s="7" t="s">
        <v>35</v>
      </c>
      <c r="C258" s="7" t="s">
        <v>81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4.25">
      <c r="A259" s="7"/>
      <c r="B259" s="7"/>
      <c r="C259" s="7"/>
      <c r="D259" s="7" t="s">
        <v>70</v>
      </c>
      <c r="E259" s="7"/>
      <c r="F259" s="7"/>
      <c r="G259" s="7" t="s">
        <v>82</v>
      </c>
      <c r="H259" s="7" t="s">
        <v>83</v>
      </c>
      <c r="I259" s="7"/>
      <c r="J259" s="7"/>
      <c r="K259" s="7"/>
      <c r="L259" s="7"/>
    </row>
    <row r="260" ht="14.25">
      <c r="A260" s="7"/>
      <c r="B260" s="7" t="s">
        <v>78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4.25">
      <c r="A261" s="7"/>
      <c r="B261" s="7"/>
      <c r="C261" s="7"/>
      <c r="D261" s="7" t="s">
        <v>70</v>
      </c>
      <c r="E261" s="7"/>
      <c r="F261" s="7"/>
      <c r="G261" s="7" t="s">
        <v>84</v>
      </c>
      <c r="H261" s="7" t="s">
        <v>85</v>
      </c>
      <c r="I261" s="7"/>
      <c r="J261" s="7"/>
      <c r="K261" s="7"/>
      <c r="L261" s="7"/>
    </row>
    <row r="262" ht="14.25">
      <c r="A262" s="7"/>
      <c r="B262" s="7" t="s">
        <v>52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4.25">
      <c r="A263" s="7"/>
      <c r="B263" s="7"/>
      <c r="C263" s="7"/>
      <c r="D263" s="7" t="s">
        <v>70</v>
      </c>
      <c r="E263"/>
      <c r="F263" s="7"/>
      <c r="G263" s="7" t="s">
        <v>86</v>
      </c>
      <c r="H263" s="7" t="s">
        <v>87</v>
      </c>
      <c r="I263" s="7"/>
      <c r="J263" s="7"/>
      <c r="K263" s="7"/>
      <c r="L263" s="7"/>
    </row>
    <row r="264" ht="14.25">
      <c r="A264" s="7"/>
      <c r="B264" s="7"/>
      <c r="C264" s="7"/>
      <c r="D264" s="7" t="s">
        <v>70</v>
      </c>
      <c r="E264" s="7"/>
      <c r="F264" s="7"/>
      <c r="G264" s="7" t="s">
        <v>88</v>
      </c>
      <c r="H264" s="7" t="s">
        <v>89</v>
      </c>
      <c r="I264" s="7"/>
      <c r="J264" s="7"/>
      <c r="K264" s="7"/>
      <c r="L264" s="7"/>
    </row>
    <row r="265" ht="14.25">
      <c r="A265" s="7"/>
      <c r="B265" s="7"/>
      <c r="C265" s="7"/>
      <c r="D265" s="7" t="s">
        <v>70</v>
      </c>
      <c r="E265" s="7"/>
      <c r="F265" s="7"/>
      <c r="G265" s="7" t="s">
        <v>90</v>
      </c>
      <c r="H265" s="7" t="s">
        <v>91</v>
      </c>
      <c r="I265" s="7"/>
      <c r="J265" s="7"/>
      <c r="K265" s="7"/>
      <c r="L265" s="7"/>
    </row>
    <row r="266" ht="14.25">
      <c r="A266" s="7"/>
      <c r="B266" s="7"/>
      <c r="C266" s="7"/>
      <c r="D266" s="7" t="s">
        <v>38</v>
      </c>
      <c r="E266" s="7"/>
      <c r="F266" s="7" t="s">
        <v>92</v>
      </c>
      <c r="G266" s="7"/>
      <c r="H266" s="7"/>
      <c r="I266" s="7" t="s">
        <v>123</v>
      </c>
      <c r="J266" s="7"/>
      <c r="K266" s="7"/>
      <c r="L266" s="7"/>
    </row>
    <row r="267" ht="14.25">
      <c r="A267" s="7"/>
      <c r="B267" s="7" t="s">
        <v>52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4.25">
      <c r="A268" s="7"/>
      <c r="B268" s="7" t="s">
        <v>51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4.25">
      <c r="A269" s="7"/>
      <c r="B269" s="7" t="s">
        <v>52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4.25">
      <c r="A270" s="7"/>
      <c r="B270" s="7" t="s">
        <v>52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4.25">
      <c r="A271" s="7"/>
      <c r="B271" s="7" t="s">
        <v>52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4.25">
      <c r="A272" s="7"/>
      <c r="B272" s="7" t="s">
        <v>35</v>
      </c>
      <c r="C272" s="7" t="s">
        <v>130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4.25">
      <c r="A273" s="7"/>
      <c r="B273" s="7" t="s">
        <v>131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4.25">
      <c r="A274" s="7"/>
      <c r="B274" s="7" t="s">
        <v>52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58" activeCellId="0" sqref="158:158"/>
    </sheetView>
  </sheetViews>
  <sheetFormatPr defaultRowHeight="14.25"/>
  <cols>
    <col bestFit="1" customWidth="1" min="1" max="1" width="12.453125"/>
    <col bestFit="1" customWidth="1" min="2" max="2" width="13.54296875"/>
    <col customWidth="1" min="3" max="3" width="32.81640625"/>
    <col bestFit="1" customWidth="1" min="4" max="4" width="22"/>
    <col customWidth="1" min="5" max="5" width="17"/>
    <col bestFit="1" customWidth="1" min="6" max="6" width="15.453125"/>
    <col customWidth="1" min="7" max="7" width="45.54296875"/>
    <col customWidth="1" min="8" max="8" width="35.453125"/>
    <col bestFit="1" customWidth="1" min="9" max="9" width="12.7265625"/>
    <col customWidth="1" min="10" max="10" width="12.7265625"/>
    <col customWidth="1" min="11" max="11" width="39.7265625"/>
    <col bestFit="1" customWidth="1" min="12" max="12" width="37.453125"/>
    <col bestFit="1" customWidth="1" min="13" max="13" width="30.26953125"/>
    <col bestFit="1" customWidth="1" min="14" max="14" width="35.26953125"/>
    <col bestFit="1" customWidth="1" min="15" max="15" width="34.453125"/>
    <col bestFit="1" customWidth="1" min="16" max="16" width="19.54296875"/>
  </cols>
  <sheetData>
    <row r="1" s="1" customFormat="1">
      <c r="A1" s="10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0" t="s">
        <v>29</v>
      </c>
      <c r="J1" s="1" t="s">
        <v>132</v>
      </c>
      <c r="K1" s="1" t="s">
        <v>133</v>
      </c>
      <c r="L1" s="1" t="s">
        <v>134</v>
      </c>
      <c r="M1" s="1" t="s">
        <v>30</v>
      </c>
      <c r="N1" s="1" t="s">
        <v>31</v>
      </c>
      <c r="O1" s="1" t="s">
        <v>135</v>
      </c>
      <c r="P1" s="4" t="s">
        <v>33</v>
      </c>
    </row>
    <row r="2">
      <c r="A2" s="7"/>
      <c r="B2" s="7" t="s">
        <v>37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D3" t="s">
        <v>38</v>
      </c>
      <c r="F3" t="s">
        <v>136</v>
      </c>
      <c r="I3" s="6" t="s">
        <v>137</v>
      </c>
    </row>
    <row r="4">
      <c r="A4" s="7"/>
      <c r="B4" s="7"/>
      <c r="C4" s="7"/>
      <c r="D4" s="7" t="s">
        <v>41</v>
      </c>
      <c r="E4" s="7" t="s">
        <v>138</v>
      </c>
      <c r="F4" s="7" t="s">
        <v>139</v>
      </c>
      <c r="G4" s="7" t="s">
        <v>140</v>
      </c>
      <c r="H4" s="7" t="s">
        <v>141</v>
      </c>
      <c r="I4" s="7"/>
      <c r="J4" s="7"/>
      <c r="K4" s="7"/>
      <c r="L4" s="7"/>
      <c r="M4" s="7"/>
      <c r="N4" s="7"/>
      <c r="O4" s="7"/>
    </row>
    <row r="5">
      <c r="A5" s="7"/>
      <c r="B5" s="7" t="s">
        <v>51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7"/>
      <c r="B6" s="7" t="s">
        <v>37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7"/>
      <c r="B7" s="7"/>
      <c r="C7" s="7"/>
      <c r="D7" s="7" t="s">
        <v>62</v>
      </c>
      <c r="E7" s="11" t="s">
        <v>142</v>
      </c>
      <c r="F7" s="7" t="s">
        <v>143</v>
      </c>
      <c r="G7" s="7" t="s">
        <v>144</v>
      </c>
      <c r="H7" s="2" t="s">
        <v>145</v>
      </c>
      <c r="I7" s="7"/>
      <c r="J7" s="7"/>
      <c r="K7" s="7"/>
      <c r="L7" s="7"/>
      <c r="M7" s="7"/>
      <c r="N7" s="7"/>
      <c r="O7" s="7"/>
    </row>
    <row r="8">
      <c r="A8" s="7"/>
      <c r="B8" s="7" t="s">
        <v>35</v>
      </c>
      <c r="C8" s="7" t="s">
        <v>146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>
      <c r="A9" s="7"/>
      <c r="B9" s="7"/>
      <c r="C9" s="7"/>
      <c r="D9" s="7" t="s">
        <v>48</v>
      </c>
      <c r="E9" s="7"/>
      <c r="F9" s="7" t="s">
        <v>147</v>
      </c>
      <c r="G9" s="7" t="s">
        <v>148</v>
      </c>
      <c r="H9" s="7" t="s">
        <v>149</v>
      </c>
      <c r="I9" s="7"/>
      <c r="J9" s="7" t="s">
        <v>150</v>
      </c>
      <c r="K9" s="7" t="s">
        <v>151</v>
      </c>
      <c r="L9" s="7" t="s">
        <v>152</v>
      </c>
      <c r="M9" s="7"/>
      <c r="N9" s="7"/>
      <c r="O9" s="7"/>
    </row>
    <row r="10">
      <c r="A10" s="7"/>
      <c r="B10" s="7"/>
      <c r="C10" s="7"/>
      <c r="D10" s="7" t="s">
        <v>153</v>
      </c>
      <c r="E10" s="7" t="s">
        <v>154</v>
      </c>
      <c r="F10" s="7" t="s">
        <v>155</v>
      </c>
      <c r="G10" s="7"/>
      <c r="H10" s="7"/>
      <c r="I10" s="7"/>
      <c r="J10" s="7"/>
      <c r="K10" s="7"/>
      <c r="L10" s="7"/>
      <c r="M10" s="7"/>
      <c r="N10" s="7"/>
      <c r="O10" s="7"/>
    </row>
    <row r="11">
      <c r="A11" s="7"/>
      <c r="B11" s="7" t="s">
        <v>35</v>
      </c>
      <c r="C11" s="7" t="s">
        <v>156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>
      <c r="A12" s="7"/>
      <c r="B12" s="7"/>
      <c r="C12" s="7"/>
      <c r="D12" s="7" t="s">
        <v>38</v>
      </c>
      <c r="E12" s="7"/>
      <c r="F12" s="7" t="s">
        <v>147</v>
      </c>
      <c r="G12" s="7"/>
      <c r="H12" s="7"/>
      <c r="I12" t="s">
        <v>157</v>
      </c>
      <c r="J12" s="7"/>
      <c r="K12" s="7"/>
      <c r="L12" s="7"/>
      <c r="M12" s="7"/>
      <c r="N12" s="7"/>
      <c r="O12" s="7"/>
    </row>
    <row r="13">
      <c r="A13" s="7"/>
      <c r="B13" s="7" t="s">
        <v>52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>
      <c r="A14" s="7"/>
      <c r="B14" s="7" t="s">
        <v>35</v>
      </c>
      <c r="C14" s="7" t="s">
        <v>158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7"/>
      <c r="B15" s="7"/>
      <c r="C15" s="7"/>
      <c r="D15" s="7" t="s">
        <v>159</v>
      </c>
      <c r="E15" s="7"/>
      <c r="F15" s="7" t="s">
        <v>160</v>
      </c>
      <c r="G15" s="7" t="s">
        <v>161</v>
      </c>
      <c r="H15" s="7" t="s">
        <v>162</v>
      </c>
      <c r="I15" s="7"/>
      <c r="J15" s="7"/>
      <c r="K15" s="7"/>
      <c r="L15" s="7"/>
      <c r="M15" s="7"/>
      <c r="N15" s="7"/>
      <c r="O15" s="7"/>
    </row>
    <row r="16">
      <c r="A16" s="7"/>
      <c r="B16" s="7"/>
      <c r="C16" s="7"/>
      <c r="D16" s="7" t="s">
        <v>159</v>
      </c>
      <c r="E16" s="7"/>
      <c r="F16" s="7" t="s">
        <v>163</v>
      </c>
      <c r="G16" s="7" t="s">
        <v>164</v>
      </c>
      <c r="H16" s="7" t="s">
        <v>165</v>
      </c>
      <c r="I16" s="7"/>
      <c r="J16" s="7" t="s">
        <v>166</v>
      </c>
      <c r="K16" s="7" t="s">
        <v>167</v>
      </c>
      <c r="L16" s="7" t="s">
        <v>168</v>
      </c>
      <c r="M16" s="7"/>
      <c r="N16" s="7"/>
      <c r="O16" s="7"/>
    </row>
    <row r="17">
      <c r="A17" s="7"/>
      <c r="B17" s="7" t="s">
        <v>52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7"/>
      <c r="B18" s="7" t="s">
        <v>52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7"/>
      <c r="B19" s="7" t="s">
        <v>51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H20" s="2"/>
    </row>
    <row r="21">
      <c r="H21" s="2"/>
    </row>
    <row r="22">
      <c r="H22" s="2"/>
    </row>
    <row r="23">
      <c r="B23" t="s">
        <v>169</v>
      </c>
    </row>
    <row r="24">
      <c r="D24" t="s">
        <v>70</v>
      </c>
      <c r="G24" t="s">
        <v>170</v>
      </c>
      <c r="H24" t="s">
        <v>171</v>
      </c>
    </row>
    <row r="25">
      <c r="D25" t="s">
        <v>172</v>
      </c>
      <c r="E25" t="s">
        <v>142</v>
      </c>
      <c r="F25" t="s">
        <v>173</v>
      </c>
      <c r="G25" t="s">
        <v>174</v>
      </c>
      <c r="H25" s="2" t="s">
        <v>175</v>
      </c>
    </row>
    <row r="26">
      <c r="B26" t="s">
        <v>35</v>
      </c>
      <c r="C26" t="s">
        <v>176</v>
      </c>
      <c r="H26" s="2"/>
    </row>
    <row r="27">
      <c r="H27" s="2"/>
    </row>
    <row r="28">
      <c r="D28" t="s">
        <v>153</v>
      </c>
      <c r="E28" t="s">
        <v>177</v>
      </c>
      <c r="F28" t="s">
        <v>178</v>
      </c>
      <c r="G28" t="s">
        <v>179</v>
      </c>
      <c r="H28" s="2" t="s">
        <v>180</v>
      </c>
      <c r="J28" s="6" t="s">
        <v>181</v>
      </c>
    </row>
    <row r="29">
      <c r="B29" t="s">
        <v>52</v>
      </c>
      <c r="H29" s="2"/>
    </row>
    <row r="30">
      <c r="B30" t="s">
        <v>51</v>
      </c>
      <c r="H30" s="2"/>
    </row>
    <row r="31">
      <c r="B31" t="s">
        <v>37</v>
      </c>
      <c r="H31" s="2"/>
    </row>
    <row r="32">
      <c r="D32" t="s">
        <v>70</v>
      </c>
      <c r="G32" t="s">
        <v>170</v>
      </c>
      <c r="H32" t="s">
        <v>171</v>
      </c>
    </row>
    <row r="33">
      <c r="D33" t="s">
        <v>62</v>
      </c>
      <c r="E33" t="s">
        <v>142</v>
      </c>
      <c r="F33" t="s">
        <v>182</v>
      </c>
      <c r="G33" t="s">
        <v>183</v>
      </c>
      <c r="H33" s="2" t="s">
        <v>184</v>
      </c>
    </row>
    <row r="34">
      <c r="B34" t="s">
        <v>35</v>
      </c>
      <c r="C34" t="s">
        <v>185</v>
      </c>
      <c r="H34" s="2"/>
    </row>
    <row r="35">
      <c r="D35" t="s">
        <v>153</v>
      </c>
      <c r="E35" t="s">
        <v>177</v>
      </c>
      <c r="F35" t="s">
        <v>186</v>
      </c>
      <c r="G35" t="s">
        <v>179</v>
      </c>
      <c r="H35" s="2" t="s">
        <v>180</v>
      </c>
      <c r="J35" s="6" t="s">
        <v>181</v>
      </c>
    </row>
    <row r="36">
      <c r="B36" t="s">
        <v>52</v>
      </c>
    </row>
    <row r="37">
      <c r="B37" t="s">
        <v>51</v>
      </c>
    </row>
    <row r="38">
      <c r="B38" t="s">
        <v>169</v>
      </c>
    </row>
    <row r="39">
      <c r="D39" t="s">
        <v>70</v>
      </c>
      <c r="G39" t="s">
        <v>170</v>
      </c>
      <c r="H39" t="s">
        <v>171</v>
      </c>
    </row>
    <row r="40">
      <c r="D40" t="s">
        <v>62</v>
      </c>
      <c r="E40" t="s">
        <v>142</v>
      </c>
      <c r="F40" t="s">
        <v>187</v>
      </c>
      <c r="G40" t="s">
        <v>188</v>
      </c>
      <c r="H40" s="2" t="s">
        <v>189</v>
      </c>
    </row>
    <row r="41">
      <c r="B41" t="s">
        <v>35</v>
      </c>
      <c r="C41" t="s">
        <v>190</v>
      </c>
    </row>
    <row r="42">
      <c r="D42" t="s">
        <v>191</v>
      </c>
      <c r="E42" t="s">
        <v>177</v>
      </c>
      <c r="F42" t="s">
        <v>192</v>
      </c>
      <c r="G42" t="s">
        <v>179</v>
      </c>
      <c r="H42" s="2" t="s">
        <v>180</v>
      </c>
      <c r="J42" s="6" t="s">
        <v>181</v>
      </c>
    </row>
    <row r="43">
      <c r="B43" t="s">
        <v>52</v>
      </c>
    </row>
    <row r="44">
      <c r="B44" t="s">
        <v>51</v>
      </c>
    </row>
    <row r="45">
      <c r="B45" t="s">
        <v>37</v>
      </c>
    </row>
    <row r="46">
      <c r="D46" t="s">
        <v>70</v>
      </c>
      <c r="G46" t="s">
        <v>170</v>
      </c>
      <c r="H46" t="s">
        <v>171</v>
      </c>
    </row>
    <row r="47" s="2" customFormat="1">
      <c r="B47"/>
      <c r="C47"/>
      <c r="D47" s="2" t="s">
        <v>62</v>
      </c>
      <c r="E47" s="2" t="s">
        <v>142</v>
      </c>
      <c r="F47" s="2" t="s">
        <v>193</v>
      </c>
      <c r="G47" s="2" t="s">
        <v>194</v>
      </c>
      <c r="H47" s="2" t="s">
        <v>195</v>
      </c>
    </row>
    <row r="48">
      <c r="B48" t="s">
        <v>35</v>
      </c>
      <c r="C48" t="s">
        <v>196</v>
      </c>
    </row>
    <row r="49">
      <c r="D49" t="s">
        <v>191</v>
      </c>
      <c r="E49" t="s">
        <v>177</v>
      </c>
      <c r="F49" s="2" t="s">
        <v>197</v>
      </c>
      <c r="G49" t="s">
        <v>179</v>
      </c>
      <c r="H49" s="2" t="s">
        <v>180</v>
      </c>
      <c r="J49" s="6" t="s">
        <v>181</v>
      </c>
    </row>
    <row r="50">
      <c r="B50" t="s">
        <v>52</v>
      </c>
    </row>
    <row r="51">
      <c r="B51" t="s">
        <v>51</v>
      </c>
    </row>
    <row r="52">
      <c r="B52" t="s">
        <v>169</v>
      </c>
    </row>
    <row r="53">
      <c r="D53" t="s">
        <v>70</v>
      </c>
      <c r="G53" t="s">
        <v>170</v>
      </c>
      <c r="H53" t="s">
        <v>171</v>
      </c>
    </row>
    <row r="54">
      <c r="D54" t="s">
        <v>62</v>
      </c>
      <c r="E54" t="s">
        <v>142</v>
      </c>
      <c r="F54" t="s">
        <v>198</v>
      </c>
      <c r="G54" t="s">
        <v>199</v>
      </c>
      <c r="H54" s="2" t="s">
        <v>200</v>
      </c>
    </row>
    <row r="55">
      <c r="B55" t="s">
        <v>35</v>
      </c>
      <c r="C55" t="s">
        <v>201</v>
      </c>
      <c r="H55" s="2"/>
    </row>
    <row r="56">
      <c r="D56" t="s">
        <v>191</v>
      </c>
      <c r="E56" t="s">
        <v>177</v>
      </c>
      <c r="F56" t="s">
        <v>202</v>
      </c>
      <c r="G56" t="s">
        <v>179</v>
      </c>
      <c r="H56" s="2" t="s">
        <v>180</v>
      </c>
      <c r="J56" s="6" t="s">
        <v>181</v>
      </c>
    </row>
    <row r="57">
      <c r="B57" t="s">
        <v>52</v>
      </c>
    </row>
    <row r="58">
      <c r="B58" t="s">
        <v>51</v>
      </c>
    </row>
    <row r="59">
      <c r="B59" t="s">
        <v>37</v>
      </c>
    </row>
    <row r="60">
      <c r="D60" t="s">
        <v>70</v>
      </c>
      <c r="G60" t="s">
        <v>170</v>
      </c>
      <c r="H60" t="s">
        <v>171</v>
      </c>
    </row>
    <row r="61">
      <c r="D61" t="s">
        <v>62</v>
      </c>
      <c r="E61" t="s">
        <v>142</v>
      </c>
      <c r="F61" t="s">
        <v>203</v>
      </c>
      <c r="G61" t="s">
        <v>204</v>
      </c>
      <c r="H61" s="2" t="s">
        <v>205</v>
      </c>
    </row>
    <row r="62">
      <c r="B62" t="s">
        <v>35</v>
      </c>
      <c r="C62" t="s">
        <v>206</v>
      </c>
      <c r="G62" s="2"/>
      <c r="H62" s="2"/>
    </row>
    <row r="63">
      <c r="D63" t="s">
        <v>153</v>
      </c>
      <c r="E63" t="s">
        <v>177</v>
      </c>
      <c r="F63" t="s">
        <v>207</v>
      </c>
      <c r="G63" s="2" t="s">
        <v>179</v>
      </c>
      <c r="H63" s="2" t="s">
        <v>180</v>
      </c>
      <c r="J63" s="6" t="s">
        <v>181</v>
      </c>
    </row>
    <row r="64">
      <c r="B64" t="s">
        <v>52</v>
      </c>
    </row>
    <row r="65">
      <c r="B65" t="s">
        <v>51</v>
      </c>
      <c r="G65" s="2"/>
      <c r="H65" s="2"/>
    </row>
    <row r="66">
      <c r="B66" t="s">
        <v>37</v>
      </c>
    </row>
    <row r="67">
      <c r="D67" t="s">
        <v>70</v>
      </c>
      <c r="G67" t="s">
        <v>170</v>
      </c>
      <c r="H67" t="s">
        <v>171</v>
      </c>
    </row>
    <row r="68">
      <c r="D68" t="s">
        <v>62</v>
      </c>
      <c r="E68" t="s">
        <v>142</v>
      </c>
      <c r="F68" t="s">
        <v>208</v>
      </c>
      <c r="G68" t="s">
        <v>209</v>
      </c>
      <c r="H68" s="2" t="s">
        <v>210</v>
      </c>
    </row>
    <row r="69">
      <c r="B69" t="s">
        <v>35</v>
      </c>
      <c r="C69" t="s">
        <v>211</v>
      </c>
      <c r="H69" s="2"/>
    </row>
    <row r="70">
      <c r="D70" t="s">
        <v>153</v>
      </c>
      <c r="E70" t="s">
        <v>177</v>
      </c>
      <c r="F70" t="s">
        <v>212</v>
      </c>
      <c r="G70" t="s">
        <v>179</v>
      </c>
      <c r="H70" s="2" t="s">
        <v>180</v>
      </c>
      <c r="J70" s="6" t="s">
        <v>181</v>
      </c>
    </row>
    <row r="71">
      <c r="B71" t="s">
        <v>52</v>
      </c>
    </row>
    <row r="72">
      <c r="B72" t="s">
        <v>51</v>
      </c>
    </row>
    <row r="73">
      <c r="B73" t="s">
        <v>37</v>
      </c>
    </row>
    <row r="74">
      <c r="D74" t="s">
        <v>70</v>
      </c>
      <c r="G74" t="s">
        <v>170</v>
      </c>
      <c r="H74" t="s">
        <v>171</v>
      </c>
    </row>
    <row r="75">
      <c r="D75" t="s">
        <v>62</v>
      </c>
      <c r="E75" t="s">
        <v>142</v>
      </c>
      <c r="F75" t="s">
        <v>213</v>
      </c>
      <c r="G75" t="s">
        <v>214</v>
      </c>
      <c r="H75" s="2" t="s">
        <v>215</v>
      </c>
    </row>
    <row r="76">
      <c r="B76" t="s">
        <v>35</v>
      </c>
      <c r="C76" t="s">
        <v>216</v>
      </c>
      <c r="H76" s="2"/>
    </row>
    <row r="77">
      <c r="D77" t="s">
        <v>153</v>
      </c>
      <c r="E77" t="s">
        <v>177</v>
      </c>
      <c r="F77" t="s">
        <v>217</v>
      </c>
      <c r="G77" t="s">
        <v>179</v>
      </c>
      <c r="H77" s="2" t="s">
        <v>180</v>
      </c>
      <c r="J77" s="6" t="s">
        <v>181</v>
      </c>
    </row>
    <row r="78">
      <c r="B78" t="s">
        <v>52</v>
      </c>
    </row>
    <row r="79">
      <c r="B79" t="s">
        <v>51</v>
      </c>
    </row>
    <row r="80">
      <c r="B80" t="s">
        <v>37</v>
      </c>
    </row>
    <row r="81">
      <c r="D81" t="s">
        <v>70</v>
      </c>
      <c r="G81" t="s">
        <v>170</v>
      </c>
      <c r="H81" t="s">
        <v>171</v>
      </c>
    </row>
    <row r="82">
      <c r="D82" t="s">
        <v>62</v>
      </c>
      <c r="E82" t="s">
        <v>142</v>
      </c>
      <c r="F82" t="s">
        <v>218</v>
      </c>
      <c r="G82" t="s">
        <v>219</v>
      </c>
      <c r="H82" s="2" t="s">
        <v>220</v>
      </c>
    </row>
    <row r="83">
      <c r="B83" t="s">
        <v>35</v>
      </c>
      <c r="C83" t="s">
        <v>221</v>
      </c>
      <c r="H83" s="2"/>
    </row>
    <row r="84">
      <c r="D84" t="s">
        <v>222</v>
      </c>
      <c r="F84" t="s">
        <v>223</v>
      </c>
      <c r="G84" t="s">
        <v>224</v>
      </c>
      <c r="H84" s="2" t="s">
        <v>225</v>
      </c>
    </row>
    <row r="85">
      <c r="D85" t="s">
        <v>153</v>
      </c>
      <c r="E85" t="s">
        <v>177</v>
      </c>
      <c r="F85" t="s">
        <v>226</v>
      </c>
      <c r="G85" t="s">
        <v>179</v>
      </c>
      <c r="H85" s="2" t="s">
        <v>180</v>
      </c>
      <c r="J85" s="6" t="s">
        <v>181</v>
      </c>
    </row>
    <row r="86">
      <c r="B86" t="s">
        <v>52</v>
      </c>
    </row>
    <row r="87">
      <c r="B87" t="s">
        <v>51</v>
      </c>
    </row>
    <row r="88">
      <c r="B88" t="s">
        <v>37</v>
      </c>
    </row>
    <row r="89">
      <c r="D89" t="s">
        <v>70</v>
      </c>
      <c r="G89" t="s">
        <v>170</v>
      </c>
      <c r="H89" t="s">
        <v>171</v>
      </c>
    </row>
    <row r="90">
      <c r="D90" t="s">
        <v>62</v>
      </c>
      <c r="E90" t="s">
        <v>142</v>
      </c>
      <c r="F90" t="s">
        <v>227</v>
      </c>
      <c r="G90" t="s">
        <v>228</v>
      </c>
      <c r="H90" s="2" t="s">
        <v>229</v>
      </c>
    </row>
    <row r="91">
      <c r="B91" t="s">
        <v>35</v>
      </c>
      <c r="C91" t="s">
        <v>230</v>
      </c>
      <c r="H91" s="2"/>
    </row>
    <row r="92">
      <c r="D92" t="s">
        <v>153</v>
      </c>
      <c r="E92" t="s">
        <v>177</v>
      </c>
      <c r="F92" t="s">
        <v>231</v>
      </c>
      <c r="G92" t="s">
        <v>179</v>
      </c>
      <c r="H92" s="2" t="s">
        <v>180</v>
      </c>
      <c r="J92" s="6" t="s">
        <v>181</v>
      </c>
    </row>
    <row r="93">
      <c r="D93" t="s">
        <v>222</v>
      </c>
      <c r="F93" t="s">
        <v>232</v>
      </c>
      <c r="G93" t="s">
        <v>233</v>
      </c>
      <c r="H93" s="2" t="s">
        <v>234</v>
      </c>
    </row>
    <row r="94">
      <c r="D94" t="s">
        <v>62</v>
      </c>
      <c r="E94" t="s">
        <v>235</v>
      </c>
      <c r="F94" t="s">
        <v>236</v>
      </c>
      <c r="G94" t="s">
        <v>237</v>
      </c>
      <c r="H94" s="2" t="s">
        <v>238</v>
      </c>
    </row>
    <row r="95">
      <c r="B95" t="s">
        <v>52</v>
      </c>
    </row>
    <row r="96">
      <c r="B96" t="s">
        <v>51</v>
      </c>
    </row>
    <row r="97">
      <c r="A97" s="11"/>
      <c r="B97" s="11" t="s">
        <v>37</v>
      </c>
      <c r="C97" s="11"/>
      <c r="D97" s="11"/>
      <c r="E97" s="11"/>
      <c r="F97" s="11"/>
      <c r="G97" s="11"/>
      <c r="H97" s="11"/>
      <c r="I97" s="11"/>
      <c r="J97" s="11"/>
      <c r="K97" s="11"/>
      <c r="L97" s="7"/>
      <c r="M97" s="7"/>
      <c r="N97" s="7"/>
      <c r="O97" s="7"/>
      <c r="P97" s="7"/>
    </row>
    <row r="98">
      <c r="A98" s="11"/>
      <c r="B98" s="11"/>
      <c r="C98" s="11"/>
      <c r="D98" s="11" t="s">
        <v>70</v>
      </c>
      <c r="E98" s="11"/>
      <c r="F98" s="11"/>
      <c r="G98" s="11" t="s">
        <v>170</v>
      </c>
      <c r="H98" s="11" t="s">
        <v>171</v>
      </c>
      <c r="I98" s="11"/>
      <c r="J98" s="11"/>
      <c r="K98" s="11"/>
      <c r="L98" s="7"/>
      <c r="M98" s="7"/>
      <c r="N98" s="7"/>
      <c r="O98" s="7"/>
      <c r="P98" s="7"/>
    </row>
    <row r="99">
      <c r="A99" s="11"/>
      <c r="B99" s="11"/>
      <c r="C99" s="11"/>
      <c r="D99" s="11" t="s">
        <v>62</v>
      </c>
      <c r="E99" s="11" t="s">
        <v>142</v>
      </c>
      <c r="F99" s="11" t="s">
        <v>239</v>
      </c>
      <c r="G99" s="11" t="s">
        <v>240</v>
      </c>
      <c r="H99" s="11" t="s">
        <v>241</v>
      </c>
      <c r="I99" s="11"/>
      <c r="J99" s="11"/>
      <c r="K99" s="11"/>
      <c r="L99" s="7"/>
      <c r="M99" s="7"/>
      <c r="N99" s="7"/>
      <c r="O99" s="7"/>
      <c r="P99" s="7"/>
    </row>
    <row r="100">
      <c r="A100" s="11"/>
      <c r="B100" s="11" t="s">
        <v>35</v>
      </c>
      <c r="C100" s="11" t="s">
        <v>242</v>
      </c>
      <c r="D100" s="11"/>
      <c r="E100" s="11"/>
      <c r="F100" s="11"/>
      <c r="G100" s="11"/>
      <c r="H100" s="11"/>
      <c r="I100" s="11"/>
      <c r="J100" s="11"/>
      <c r="K100" s="11"/>
      <c r="L100" s="7"/>
      <c r="M100" s="7"/>
      <c r="N100" s="7"/>
      <c r="O100" s="7"/>
      <c r="P100" s="7"/>
    </row>
    <row r="101">
      <c r="A101" s="11"/>
      <c r="B101" s="11"/>
      <c r="C101" s="11"/>
      <c r="D101" s="11" t="s">
        <v>153</v>
      </c>
      <c r="E101" s="11" t="s">
        <v>177</v>
      </c>
      <c r="F101" s="11" t="s">
        <v>243</v>
      </c>
      <c r="G101" s="11" t="s">
        <v>179</v>
      </c>
      <c r="H101" s="11" t="s">
        <v>180</v>
      </c>
      <c r="I101" s="11"/>
      <c r="J101" s="6" t="s">
        <v>181</v>
      </c>
      <c r="K101" s="11"/>
      <c r="L101" s="7"/>
      <c r="M101" s="7"/>
      <c r="N101" s="7"/>
      <c r="O101" s="7"/>
      <c r="P101" s="7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1"/>
      <c r="L102" s="7"/>
      <c r="M102" s="7"/>
      <c r="N102" s="7"/>
      <c r="O102" s="7"/>
      <c r="P102" s="7"/>
    </row>
    <row r="103">
      <c r="A103" s="11"/>
      <c r="B103" s="12"/>
      <c r="C103" s="12"/>
      <c r="D103" s="12" t="s">
        <v>153</v>
      </c>
      <c r="E103" s="12" t="s">
        <v>244</v>
      </c>
      <c r="F103" s="12" t="s">
        <v>245</v>
      </c>
      <c r="G103" s="12" t="s">
        <v>246</v>
      </c>
      <c r="H103" s="12" t="s">
        <v>247</v>
      </c>
      <c r="I103" s="12"/>
      <c r="J103" s="12"/>
      <c r="K103" s="11"/>
      <c r="L103" s="7"/>
      <c r="M103" s="7"/>
      <c r="N103" s="7"/>
      <c r="O103" s="7"/>
      <c r="P103" s="7"/>
    </row>
    <row r="104">
      <c r="A104" s="11"/>
      <c r="B104" s="12" t="s">
        <v>35</v>
      </c>
      <c r="C104" s="12" t="s">
        <v>248</v>
      </c>
      <c r="D104" s="12"/>
      <c r="E104" s="12"/>
      <c r="F104" s="12"/>
      <c r="G104" s="12"/>
      <c r="H104" s="12"/>
      <c r="I104" s="12"/>
      <c r="J104" s="12"/>
      <c r="K104" s="11"/>
      <c r="L104" s="7"/>
      <c r="M104" s="7"/>
      <c r="N104" s="7"/>
      <c r="O104" s="7"/>
      <c r="P104" s="7"/>
    </row>
    <row r="105" ht="14.25">
      <c r="A105" s="11"/>
      <c r="B105" s="12"/>
      <c r="C105" s="12"/>
      <c r="D105" s="12" t="s">
        <v>222</v>
      </c>
      <c r="E105" s="12"/>
      <c r="F105" s="12" t="s">
        <v>249</v>
      </c>
      <c r="G105" s="12" t="s">
        <v>250</v>
      </c>
      <c r="H105" s="12" t="s">
        <v>251</v>
      </c>
      <c r="I105" s="12"/>
      <c r="J105" s="12"/>
      <c r="K105" s="11"/>
      <c r="L105" s="7"/>
      <c r="M105" s="7"/>
      <c r="N105" s="7"/>
      <c r="O105" s="7"/>
      <c r="P105" s="7"/>
    </row>
    <row r="106" ht="14.25">
      <c r="A106" s="11"/>
      <c r="B106" s="12" t="s">
        <v>52</v>
      </c>
      <c r="C106" s="12"/>
      <c r="D106" s="12"/>
      <c r="E106" s="12"/>
      <c r="F106" s="12"/>
      <c r="G106" s="12"/>
      <c r="H106" s="12"/>
      <c r="I106" s="12"/>
      <c r="J106" s="12"/>
      <c r="K106" s="11"/>
      <c r="L106" s="7"/>
      <c r="M106" s="7"/>
      <c r="N106" s="7"/>
      <c r="O106" s="7"/>
      <c r="P106" s="7"/>
    </row>
    <row r="107" ht="14.25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1"/>
      <c r="L107" s="7"/>
      <c r="M107" s="7"/>
      <c r="N107" s="7"/>
      <c r="O107" s="7"/>
      <c r="P107" s="7"/>
    </row>
    <row r="108" ht="14.25">
      <c r="A108" s="11"/>
      <c r="B108" s="11" t="s">
        <v>52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7"/>
      <c r="M108" s="7"/>
      <c r="N108" s="7"/>
      <c r="O108" s="7"/>
      <c r="P108" s="7"/>
    </row>
    <row r="109" ht="14.25">
      <c r="A109" s="11"/>
      <c r="B109" s="11" t="s">
        <v>51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7"/>
      <c r="M109" s="7"/>
      <c r="N109" s="7"/>
      <c r="O109" s="7"/>
      <c r="P109" s="7"/>
    </row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E56" activeCellId="0" sqref="E56:E61"/>
    </sheetView>
  </sheetViews>
  <sheetFormatPr defaultRowHeight="14.25"/>
  <cols>
    <col bestFit="1" customWidth="1" min="1" max="1" width="16.54296875"/>
    <col bestFit="1" customWidth="1" min="2" max="2" width="13.81640625"/>
    <col bestFit="1" customWidth="1" min="3" max="3" width="31.453125"/>
    <col bestFit="1" customWidth="1" min="4" max="4" width="43"/>
  </cols>
  <sheetData>
    <row r="1" s="13" customFormat="1">
      <c r="A1" s="1" t="s">
        <v>252</v>
      </c>
      <c r="B1" s="1" t="s">
        <v>253</v>
      </c>
      <c r="C1" s="1" t="s">
        <v>2</v>
      </c>
      <c r="D1" s="1" t="s">
        <v>3</v>
      </c>
      <c r="F1" s="13" t="s">
        <v>254</v>
      </c>
    </row>
    <row r="2">
      <c r="A2" t="s">
        <v>142</v>
      </c>
      <c r="B2" t="str">
        <f>"2"</f>
        <v>2</v>
      </c>
      <c r="C2" s="2" t="s">
        <v>255</v>
      </c>
      <c r="D2" s="2" t="s">
        <v>256</v>
      </c>
      <c r="G2" s="14"/>
    </row>
    <row r="3">
      <c r="A3" t="s">
        <v>142</v>
      </c>
      <c r="B3" t="str">
        <f>"3"</f>
        <v>3</v>
      </c>
      <c r="C3" s="2" t="s">
        <v>257</v>
      </c>
      <c r="D3" s="2" t="s">
        <v>258</v>
      </c>
      <c r="G3" s="14"/>
    </row>
    <row r="4">
      <c r="A4" t="s">
        <v>235</v>
      </c>
      <c r="B4" t="str">
        <f>"1"</f>
        <v>1</v>
      </c>
      <c r="C4" s="2" t="s">
        <v>259</v>
      </c>
      <c r="D4" s="2" t="s">
        <v>260</v>
      </c>
      <c r="G4" s="14"/>
    </row>
    <row r="5">
      <c r="A5" t="s">
        <v>235</v>
      </c>
      <c r="B5" t="str">
        <f>"2"</f>
        <v>2</v>
      </c>
      <c r="C5" s="2" t="s">
        <v>255</v>
      </c>
      <c r="D5" s="2" t="s">
        <v>256</v>
      </c>
      <c r="G5" s="14"/>
    </row>
    <row r="6">
      <c r="A6" s="2" t="s">
        <v>42</v>
      </c>
      <c r="B6" t="str">
        <f>"1"</f>
        <v>1</v>
      </c>
      <c r="C6" s="2" t="s">
        <v>261</v>
      </c>
      <c r="D6" s="2" t="s">
        <v>261</v>
      </c>
      <c r="F6" s="2" t="s">
        <v>262</v>
      </c>
      <c r="G6" s="14"/>
    </row>
    <row r="7" s="2" customFormat="1">
      <c r="A7" s="2" t="s">
        <v>42</v>
      </c>
      <c r="B7" s="2" t="str">
        <f>"2"</f>
        <v>2</v>
      </c>
      <c r="C7" s="2" t="s">
        <v>263</v>
      </c>
      <c r="D7" s="2" t="s">
        <v>263</v>
      </c>
      <c r="G7" s="14"/>
    </row>
    <row r="8" s="2" customFormat="1">
      <c r="A8" s="2" t="s">
        <v>42</v>
      </c>
      <c r="B8" s="2" t="str">
        <f>"3"</f>
        <v>3</v>
      </c>
      <c r="C8" s="2" t="s">
        <v>264</v>
      </c>
      <c r="D8" s="2" t="s">
        <v>264</v>
      </c>
      <c r="G8" s="14"/>
    </row>
    <row r="9">
      <c r="A9" s="2" t="s">
        <v>42</v>
      </c>
      <c r="B9" t="str">
        <f>"10"</f>
        <v>10</v>
      </c>
      <c r="C9" s="2" t="s">
        <v>265</v>
      </c>
      <c r="D9" s="2" t="s">
        <v>265</v>
      </c>
      <c r="G9" s="14"/>
    </row>
    <row r="10">
      <c r="A10" s="2" t="s">
        <v>42</v>
      </c>
      <c r="B10" t="str">
        <f>"4"</f>
        <v>4</v>
      </c>
      <c r="C10" s="2" t="s">
        <v>266</v>
      </c>
      <c r="D10" s="2" t="s">
        <v>266</v>
      </c>
      <c r="G10" s="14"/>
    </row>
    <row r="11">
      <c r="A11" s="2" t="s">
        <v>42</v>
      </c>
      <c r="B11" t="str">
        <f>"5"</f>
        <v>5</v>
      </c>
      <c r="C11" s="2" t="s">
        <v>267</v>
      </c>
      <c r="D11" s="2" t="s">
        <v>267</v>
      </c>
      <c r="G11" s="14"/>
    </row>
    <row r="12">
      <c r="A12" t="s">
        <v>244</v>
      </c>
      <c r="B12" t="str">
        <f>"1"</f>
        <v>1</v>
      </c>
      <c r="C12" t="s">
        <v>268</v>
      </c>
      <c r="D12" t="s">
        <v>268</v>
      </c>
      <c r="E12" t="s">
        <v>269</v>
      </c>
      <c r="H12" s="2"/>
      <c r="I12" s="2"/>
    </row>
    <row r="13">
      <c r="A13" t="s">
        <v>244</v>
      </c>
      <c r="B13" t="str">
        <f>"2"</f>
        <v>2</v>
      </c>
      <c r="C13" t="s">
        <v>270</v>
      </c>
      <c r="D13" t="s">
        <v>270</v>
      </c>
      <c r="E13" t="s">
        <v>271</v>
      </c>
      <c r="H13" s="2"/>
      <c r="I13" s="2"/>
    </row>
    <row r="14">
      <c r="A14" t="s">
        <v>244</v>
      </c>
      <c r="B14" t="str">
        <f>"3"</f>
        <v>3</v>
      </c>
      <c r="C14" t="s">
        <v>272</v>
      </c>
      <c r="D14" t="s">
        <v>272</v>
      </c>
      <c r="E14" t="s">
        <v>273</v>
      </c>
      <c r="H14" s="2"/>
      <c r="I14" s="2"/>
    </row>
    <row r="15">
      <c r="A15" t="s">
        <v>244</v>
      </c>
      <c r="B15" t="str">
        <f>"4"</f>
        <v>4</v>
      </c>
      <c r="C15" t="s">
        <v>274</v>
      </c>
      <c r="D15" t="s">
        <v>274</v>
      </c>
      <c r="E15" t="s">
        <v>275</v>
      </c>
      <c r="H15" s="2"/>
      <c r="I15" s="2"/>
    </row>
    <row r="16">
      <c r="A16" t="s">
        <v>244</v>
      </c>
      <c r="B16" t="str">
        <f>"5"</f>
        <v>5</v>
      </c>
      <c r="C16" t="s">
        <v>276</v>
      </c>
      <c r="D16" t="s">
        <v>276</v>
      </c>
      <c r="E16" t="s">
        <v>277</v>
      </c>
      <c r="H16" s="2"/>
      <c r="I16" s="2"/>
    </row>
    <row r="17">
      <c r="A17" t="s">
        <v>244</v>
      </c>
      <c r="B17" t="str">
        <f>"6"</f>
        <v>6</v>
      </c>
      <c r="C17" t="s">
        <v>278</v>
      </c>
      <c r="D17" t="s">
        <v>278</v>
      </c>
      <c r="E17" t="s">
        <v>279</v>
      </c>
      <c r="H17" s="2"/>
      <c r="I17" s="2"/>
    </row>
    <row r="18">
      <c r="A18" t="s">
        <v>244</v>
      </c>
      <c r="B18" t="str">
        <f>"7"</f>
        <v>7</v>
      </c>
      <c r="C18" t="s">
        <v>280</v>
      </c>
      <c r="D18" t="s">
        <v>280</v>
      </c>
      <c r="E18" t="s">
        <v>269</v>
      </c>
      <c r="H18" s="2"/>
      <c r="I18" s="2"/>
    </row>
    <row r="19">
      <c r="A19" t="s">
        <v>244</v>
      </c>
      <c r="B19" t="str">
        <f>"8"</f>
        <v>8</v>
      </c>
      <c r="C19" t="s">
        <v>281</v>
      </c>
      <c r="D19" t="s">
        <v>281</v>
      </c>
      <c r="E19" t="s">
        <v>271</v>
      </c>
      <c r="H19" s="2"/>
      <c r="I19" s="2"/>
    </row>
    <row r="20">
      <c r="A20" t="s">
        <v>244</v>
      </c>
      <c r="B20" t="str">
        <f>"9"</f>
        <v>9</v>
      </c>
      <c r="C20" t="s">
        <v>282</v>
      </c>
      <c r="D20" t="s">
        <v>282</v>
      </c>
      <c r="E20" t="s">
        <v>273</v>
      </c>
      <c r="H20" s="2"/>
      <c r="I20" s="2"/>
    </row>
    <row r="21">
      <c r="A21" t="s">
        <v>244</v>
      </c>
      <c r="B21" t="str">
        <f>"10"</f>
        <v>10</v>
      </c>
      <c r="C21" t="s">
        <v>283</v>
      </c>
      <c r="D21" t="s">
        <v>283</v>
      </c>
      <c r="E21" t="s">
        <v>275</v>
      </c>
      <c r="H21" s="2"/>
      <c r="I21" s="2"/>
    </row>
    <row r="22">
      <c r="A22" t="s">
        <v>244</v>
      </c>
      <c r="B22" t="str">
        <f>"11"</f>
        <v>11</v>
      </c>
      <c r="C22" t="s">
        <v>284</v>
      </c>
      <c r="D22" t="s">
        <v>284</v>
      </c>
      <c r="E22" t="s">
        <v>277</v>
      </c>
      <c r="H22" s="2"/>
      <c r="I22" s="2"/>
    </row>
    <row r="23">
      <c r="A23" t="s">
        <v>244</v>
      </c>
      <c r="B23" t="str">
        <f>"12"</f>
        <v>12</v>
      </c>
      <c r="C23" t="s">
        <v>285</v>
      </c>
      <c r="D23" t="s">
        <v>285</v>
      </c>
      <c r="E23" t="s">
        <v>279</v>
      </c>
    </row>
    <row r="24">
      <c r="A24" t="s">
        <v>244</v>
      </c>
      <c r="B24" t="str">
        <f>"13"</f>
        <v>13</v>
      </c>
      <c r="C24" t="s">
        <v>286</v>
      </c>
      <c r="D24" t="s">
        <v>286</v>
      </c>
      <c r="E24" t="s">
        <v>287</v>
      </c>
    </row>
    <row r="25">
      <c r="A25" t="s">
        <v>244</v>
      </c>
      <c r="B25" t="str">
        <f>"14"</f>
        <v>14</v>
      </c>
      <c r="C25" t="s">
        <v>288</v>
      </c>
      <c r="D25" t="s">
        <v>288</v>
      </c>
      <c r="E25" t="s">
        <v>289</v>
      </c>
    </row>
    <row r="26">
      <c r="A26" t="s">
        <v>244</v>
      </c>
      <c r="B26" t="str">
        <f>"15"</f>
        <v>15</v>
      </c>
      <c r="C26" t="s">
        <v>290</v>
      </c>
      <c r="D26" t="s">
        <v>290</v>
      </c>
      <c r="E26" t="s">
        <v>291</v>
      </c>
    </row>
    <row r="27">
      <c r="A27" t="s">
        <v>244</v>
      </c>
      <c r="B27" t="str">
        <f>"16"</f>
        <v>16</v>
      </c>
      <c r="C27" t="s">
        <v>292</v>
      </c>
      <c r="D27" t="s">
        <v>292</v>
      </c>
      <c r="E27" t="s">
        <v>293</v>
      </c>
    </row>
    <row r="28">
      <c r="A28" t="s">
        <v>244</v>
      </c>
      <c r="B28" t="str">
        <f>"17"</f>
        <v>17</v>
      </c>
      <c r="C28" t="s">
        <v>294</v>
      </c>
      <c r="D28" t="s">
        <v>294</v>
      </c>
      <c r="E28" t="s">
        <v>295</v>
      </c>
    </row>
    <row r="29">
      <c r="A29" t="s">
        <v>244</v>
      </c>
      <c r="B29" t="str">
        <f>"18"</f>
        <v>18</v>
      </c>
      <c r="C29" t="s">
        <v>296</v>
      </c>
      <c r="D29" t="s">
        <v>296</v>
      </c>
      <c r="E29" t="s">
        <v>297</v>
      </c>
    </row>
    <row r="30">
      <c r="A30" t="s">
        <v>244</v>
      </c>
      <c r="B30" t="str">
        <f>"77"</f>
        <v>77</v>
      </c>
      <c r="C30" t="s">
        <v>298</v>
      </c>
      <c r="D30" t="s">
        <v>299</v>
      </c>
    </row>
    <row r="31">
      <c r="A31" s="7" t="s">
        <v>63</v>
      </c>
      <c r="B31" s="7" t="str">
        <f>"1"</f>
        <v>1</v>
      </c>
      <c r="C31" s="7" t="s">
        <v>300</v>
      </c>
      <c r="D31" s="7" t="s">
        <v>301</v>
      </c>
    </row>
    <row r="32">
      <c r="A32" s="7" t="s">
        <v>63</v>
      </c>
      <c r="B32" t="str">
        <f>"2"</f>
        <v>2</v>
      </c>
      <c r="C32" s="2" t="s">
        <v>302</v>
      </c>
      <c r="D32" s="2" t="s">
        <v>303</v>
      </c>
    </row>
    <row r="33">
      <c r="A33" s="7" t="s">
        <v>63</v>
      </c>
      <c r="B33" s="7" t="str">
        <f>"3"</f>
        <v>3</v>
      </c>
      <c r="C33" s="7" t="s">
        <v>304</v>
      </c>
      <c r="D33" s="2" t="s">
        <v>305</v>
      </c>
    </row>
    <row r="34">
      <c r="A34" s="7" t="s">
        <v>63</v>
      </c>
      <c r="B34" s="7" t="str">
        <f>"4"</f>
        <v>4</v>
      </c>
      <c r="C34" s="7" t="s">
        <v>306</v>
      </c>
      <c r="D34" s="2" t="s">
        <v>307</v>
      </c>
    </row>
    <row r="35">
      <c r="A35" s="7" t="s">
        <v>63</v>
      </c>
      <c r="B35" s="7" t="str">
        <f>"5"</f>
        <v>5</v>
      </c>
      <c r="C35" s="7" t="s">
        <v>308</v>
      </c>
      <c r="D35" s="2" t="s">
        <v>309</v>
      </c>
    </row>
    <row r="36">
      <c r="A36" s="7" t="s">
        <v>138</v>
      </c>
      <c r="B36" s="7" t="str">
        <f>"1"</f>
        <v>1</v>
      </c>
      <c r="C36" s="7" t="s">
        <v>310</v>
      </c>
      <c r="D36" s="7" t="s">
        <v>311</v>
      </c>
    </row>
    <row r="37">
      <c r="A37" s="7" t="s">
        <v>138</v>
      </c>
      <c r="B37" s="7" t="str">
        <f>"2"</f>
        <v>2</v>
      </c>
      <c r="C37" s="7" t="s">
        <v>312</v>
      </c>
      <c r="D37" s="7" t="s">
        <v>313</v>
      </c>
    </row>
    <row r="38">
      <c r="A38" s="7" t="s">
        <v>138</v>
      </c>
      <c r="B38" s="7" t="str">
        <f>"3"</f>
        <v>3</v>
      </c>
      <c r="C38" s="7" t="s">
        <v>314</v>
      </c>
      <c r="D38" s="7" t="s">
        <v>315</v>
      </c>
    </row>
    <row r="39">
      <c r="A39" s="7" t="s">
        <v>154</v>
      </c>
      <c r="B39" s="7" t="str">
        <f>"99"</f>
        <v>99</v>
      </c>
      <c r="C39" s="7" t="s">
        <v>257</v>
      </c>
      <c r="D39" s="7" t="s">
        <v>316</v>
      </c>
    </row>
    <row r="40">
      <c r="C40" s="2"/>
      <c r="D40" s="2"/>
    </row>
    <row r="41">
      <c r="C41" s="2"/>
      <c r="D41" s="2"/>
    </row>
    <row r="42">
      <c r="C42" s="2"/>
      <c r="D42" s="2"/>
    </row>
    <row r="43">
      <c r="C43" s="2"/>
      <c r="D43" s="2"/>
    </row>
    <row r="44">
      <c r="C44" s="2"/>
      <c r="D44" s="2"/>
    </row>
    <row r="45">
      <c r="C45" s="2"/>
      <c r="D45" s="2"/>
    </row>
    <row r="46">
      <c r="C46" s="2"/>
      <c r="D46" s="2"/>
    </row>
    <row r="47">
      <c r="C47" s="2"/>
      <c r="D47" s="2"/>
    </row>
    <row r="48">
      <c r="C48" s="2"/>
      <c r="D48" s="2"/>
    </row>
    <row r="49">
      <c r="C49" s="2"/>
      <c r="D49" s="2"/>
    </row>
    <row r="50">
      <c r="C50" s="2"/>
      <c r="D50" s="2"/>
    </row>
    <row r="51">
      <c r="C51" s="2"/>
      <c r="D51" s="2"/>
    </row>
    <row r="52">
      <c r="C52" s="2"/>
      <c r="D52" s="2"/>
    </row>
    <row r="53">
      <c r="C53" s="2"/>
      <c r="D53" s="2"/>
    </row>
    <row r="54">
      <c r="C54" s="2"/>
      <c r="D54" s="2"/>
    </row>
    <row r="55">
      <c r="C55" s="2"/>
      <c r="D55" s="2"/>
    </row>
    <row r="56">
      <c r="C56" s="2"/>
      <c r="D56" s="2"/>
    </row>
    <row r="57">
      <c r="C57" s="2"/>
      <c r="D57" s="2"/>
    </row>
    <row r="58">
      <c r="C58" s="2"/>
      <c r="D58" s="2"/>
    </row>
    <row r="59">
      <c r="C59" s="2"/>
      <c r="D59" s="2"/>
    </row>
    <row r="60">
      <c r="C60" s="2"/>
      <c r="D60" s="2"/>
    </row>
    <row r="61">
      <c r="C61" s="2"/>
      <c r="D61" s="2"/>
    </row>
    <row r="62">
      <c r="C62" s="2"/>
      <c r="D62" s="2"/>
    </row>
    <row r="63">
      <c r="C63" s="2"/>
      <c r="D63" s="2"/>
    </row>
    <row r="64">
      <c r="C64" s="2"/>
      <c r="D64" s="2"/>
    </row>
    <row r="65">
      <c r="C65" s="2"/>
      <c r="D65" s="2"/>
    </row>
    <row r="66">
      <c r="C66" s="2"/>
      <c r="D66" s="2"/>
    </row>
    <row r="67">
      <c r="C67" s="2"/>
      <c r="D67" s="2"/>
    </row>
    <row r="68">
      <c r="C68" s="2"/>
      <c r="D68" s="2"/>
    </row>
    <row r="69">
      <c r="C69" s="2"/>
      <c r="D69" s="2"/>
    </row>
    <row r="70">
      <c r="B70" s="15"/>
      <c r="C70" s="15"/>
    </row>
    <row r="71">
      <c r="B71" s="15"/>
      <c r="C71" s="15"/>
    </row>
    <row r="72">
      <c r="B72" s="15"/>
      <c r="C72" s="15"/>
    </row>
    <row r="73">
      <c r="B73" s="15"/>
      <c r="C73" s="15"/>
    </row>
    <row r="74">
      <c r="B74" s="15"/>
      <c r="C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B22" activeCellId="0" sqref="B22"/>
    </sheetView>
  </sheetViews>
  <sheetFormatPr defaultRowHeight="14.5"/>
  <cols>
    <col bestFit="1" customWidth="1" min="1" max="1" width="18"/>
    <col bestFit="1" customWidth="1" min="2" max="2" width="82.1796875"/>
  </cols>
  <sheetData>
    <row r="1">
      <c r="A1" s="16" t="s">
        <v>317</v>
      </c>
      <c r="B1" s="16" t="s">
        <v>29</v>
      </c>
    </row>
    <row r="2">
      <c r="A2" s="6" t="s">
        <v>318</v>
      </c>
      <c r="B2" s="6" t="s">
        <v>319</v>
      </c>
    </row>
    <row r="3">
      <c r="A3" s="6" t="s">
        <v>320</v>
      </c>
      <c r="B3" s="6" t="s">
        <v>321</v>
      </c>
    </row>
    <row r="4">
      <c r="A4" s="6" t="s">
        <v>322</v>
      </c>
      <c r="B4" s="6" t="s">
        <v>323</v>
      </c>
    </row>
    <row r="5">
      <c r="A5" s="6" t="s">
        <v>324</v>
      </c>
      <c r="B5" s="6" t="s">
        <v>325</v>
      </c>
    </row>
    <row r="6">
      <c r="A6" s="6" t="s">
        <v>326</v>
      </c>
      <c r="B6" s="6" t="s">
        <v>327</v>
      </c>
    </row>
    <row r="7">
      <c r="A7" s="6" t="s">
        <v>328</v>
      </c>
      <c r="B7" s="6" t="s">
        <v>329</v>
      </c>
    </row>
    <row r="8">
      <c r="A8" s="6" t="s">
        <v>330</v>
      </c>
      <c r="B8" s="6" t="s">
        <v>331</v>
      </c>
    </row>
    <row r="9">
      <c r="A9" s="6" t="s">
        <v>332</v>
      </c>
      <c r="B9" s="6" t="s">
        <v>333</v>
      </c>
    </row>
    <row r="10">
      <c r="A10" s="6" t="s">
        <v>334</v>
      </c>
      <c r="B10" s="6" t="s">
        <v>335</v>
      </c>
    </row>
    <row r="11">
      <c r="A11" s="6" t="s">
        <v>336</v>
      </c>
      <c r="B11" s="6" t="s">
        <v>337</v>
      </c>
    </row>
    <row r="12">
      <c r="A12" s="6" t="s">
        <v>338</v>
      </c>
      <c r="B12" s="6" t="s">
        <v>339</v>
      </c>
    </row>
    <row r="13">
      <c r="A13" s="6" t="s">
        <v>340</v>
      </c>
      <c r="B13" s="6" t="s">
        <v>341</v>
      </c>
    </row>
    <row r="14">
      <c r="A14" s="6" t="s">
        <v>342</v>
      </c>
      <c r="B14" s="6" t="s">
        <v>343</v>
      </c>
    </row>
    <row r="15">
      <c r="A15" s="6" t="s">
        <v>344</v>
      </c>
      <c r="B15" s="6" t="s">
        <v>345</v>
      </c>
    </row>
    <row r="16">
      <c r="A16" s="6" t="s">
        <v>346</v>
      </c>
      <c r="B16" s="6" t="s">
        <v>347</v>
      </c>
    </row>
    <row r="17">
      <c r="A17" s="6" t="s">
        <v>348</v>
      </c>
      <c r="B17" s="6" t="s">
        <v>349</v>
      </c>
    </row>
    <row r="18">
      <c r="A18" s="6" t="s">
        <v>350</v>
      </c>
      <c r="B18" s="6" t="s">
        <v>351</v>
      </c>
    </row>
    <row r="19">
      <c r="A19" s="6" t="s">
        <v>352</v>
      </c>
      <c r="B19" s="6" t="s">
        <v>353</v>
      </c>
    </row>
    <row r="20">
      <c r="A20" t="s">
        <v>354</v>
      </c>
      <c r="B20" s="6" t="s">
        <v>355</v>
      </c>
    </row>
    <row r="21">
      <c r="A21" t="s">
        <v>356</v>
      </c>
      <c r="B21" s="6" t="s">
        <v>357</v>
      </c>
    </row>
    <row r="22">
      <c r="A22" t="s">
        <v>358</v>
      </c>
      <c r="B22" s="6" t="s">
        <v>359</v>
      </c>
    </row>
    <row r="23">
      <c r="A23" t="s">
        <v>360</v>
      </c>
      <c r="B23" s="6" t="s">
        <v>361</v>
      </c>
    </row>
    <row r="24">
      <c r="A24" t="s">
        <v>362</v>
      </c>
      <c r="B24" s="6" t="s">
        <v>363</v>
      </c>
    </row>
    <row r="25">
      <c r="A25" t="s">
        <v>364</v>
      </c>
      <c r="B25" t="s">
        <v>365</v>
      </c>
    </row>
    <row r="26">
      <c r="A26" t="s">
        <v>366</v>
      </c>
      <c r="B26" t="s">
        <v>367</v>
      </c>
    </row>
    <row r="27">
      <c r="A27" t="s">
        <v>368</v>
      </c>
      <c r="B27" t="s">
        <v>369</v>
      </c>
    </row>
    <row r="28">
      <c r="A28" t="s">
        <v>370</v>
      </c>
      <c r="B28" t="s">
        <v>371</v>
      </c>
    </row>
    <row r="29">
      <c r="A29" t="s">
        <v>372</v>
      </c>
      <c r="B29" t="s">
        <v>373</v>
      </c>
    </row>
    <row r="30">
      <c r="A30" t="s">
        <v>374</v>
      </c>
      <c r="B30" t="s">
        <v>375</v>
      </c>
    </row>
    <row r="31">
      <c r="A31" t="s">
        <v>376</v>
      </c>
      <c r="B31" t="s">
        <v>377</v>
      </c>
    </row>
    <row r="32">
      <c r="A32" t="s">
        <v>378</v>
      </c>
      <c r="B32" t="s">
        <v>379</v>
      </c>
    </row>
    <row r="33">
      <c r="A33" t="s">
        <v>380</v>
      </c>
      <c r="B33" t="s">
        <v>381</v>
      </c>
    </row>
    <row r="34">
      <c r="A34" t="s">
        <v>382</v>
      </c>
      <c r="B34" t="s">
        <v>383</v>
      </c>
    </row>
    <row r="35">
      <c r="A35" t="s">
        <v>384</v>
      </c>
      <c r="B35" t="s">
        <v>385</v>
      </c>
    </row>
    <row r="36">
      <c r="A36" t="s">
        <v>386</v>
      </c>
      <c r="B36" t="s">
        <v>387</v>
      </c>
    </row>
    <row r="37">
      <c r="A37" t="s">
        <v>388</v>
      </c>
      <c r="B37" t="s">
        <v>389</v>
      </c>
    </row>
    <row r="38">
      <c r="A38" t="s">
        <v>390</v>
      </c>
      <c r="B38" t="s">
        <v>391</v>
      </c>
    </row>
    <row r="39">
      <c r="A39" t="s">
        <v>392</v>
      </c>
      <c r="B39" t="s">
        <v>393</v>
      </c>
    </row>
    <row r="40">
      <c r="A40" t="s">
        <v>394</v>
      </c>
      <c r="B40" t="s">
        <v>395</v>
      </c>
    </row>
    <row r="41">
      <c r="A41" t="s">
        <v>396</v>
      </c>
      <c r="B41" t="s">
        <v>397</v>
      </c>
    </row>
    <row r="42">
      <c r="A42" t="s">
        <v>398</v>
      </c>
      <c r="B42" t="s">
        <v>399</v>
      </c>
    </row>
    <row r="43">
      <c r="A43" t="s">
        <v>400</v>
      </c>
      <c r="B43" t="s">
        <v>401</v>
      </c>
    </row>
    <row r="44">
      <c r="A44" t="s">
        <v>402</v>
      </c>
      <c r="B44" t="s">
        <v>403</v>
      </c>
    </row>
    <row r="45">
      <c r="A45" t="s">
        <v>404</v>
      </c>
      <c r="B45" t="s">
        <v>405</v>
      </c>
    </row>
    <row r="46">
      <c r="A46" t="s">
        <v>406</v>
      </c>
      <c r="B46" t="s">
        <v>407</v>
      </c>
    </row>
    <row r="47">
      <c r="A47" t="s">
        <v>408</v>
      </c>
      <c r="B47" t="s">
        <v>409</v>
      </c>
    </row>
    <row r="48">
      <c r="A48" t="s">
        <v>410</v>
      </c>
      <c r="B48" t="s">
        <v>411</v>
      </c>
    </row>
    <row r="49">
      <c r="A49" t="s">
        <v>412</v>
      </c>
      <c r="B49" t="s">
        <v>413</v>
      </c>
    </row>
    <row r="50">
      <c r="A50" t="s">
        <v>414</v>
      </c>
      <c r="B50" t="s">
        <v>415</v>
      </c>
    </row>
    <row r="51">
      <c r="A51" t="s">
        <v>416</v>
      </c>
      <c r="B51" t="s">
        <v>417</v>
      </c>
    </row>
    <row r="52">
      <c r="A52" t="s">
        <v>418</v>
      </c>
      <c r="B52" t="s">
        <v>419</v>
      </c>
    </row>
    <row r="53">
      <c r="A53" t="s">
        <v>420</v>
      </c>
      <c r="B53" t="s">
        <v>421</v>
      </c>
    </row>
    <row r="54">
      <c r="A54" t="s">
        <v>422</v>
      </c>
      <c r="B54" t="s">
        <v>423</v>
      </c>
    </row>
    <row r="55">
      <c r="A55" t="s">
        <v>424</v>
      </c>
      <c r="B55" t="s">
        <v>425</v>
      </c>
    </row>
    <row r="56">
      <c r="A56" t="s">
        <v>426</v>
      </c>
      <c r="B56" t="s">
        <v>427</v>
      </c>
    </row>
    <row r="57">
      <c r="A57" t="s">
        <v>428</v>
      </c>
      <c r="B57" t="s">
        <v>429</v>
      </c>
    </row>
    <row r="58">
      <c r="A58" t="s">
        <v>430</v>
      </c>
      <c r="B58" t="s">
        <v>431</v>
      </c>
    </row>
    <row r="59">
      <c r="A59" t="s">
        <v>432</v>
      </c>
      <c r="B59" t="s">
        <v>433</v>
      </c>
    </row>
    <row r="60">
      <c r="A60" t="s">
        <v>434</v>
      </c>
      <c r="B60" t="s">
        <v>435</v>
      </c>
    </row>
    <row r="61">
      <c r="A61" t="s">
        <v>436</v>
      </c>
      <c r="B61" t="s">
        <v>437</v>
      </c>
    </row>
    <row r="62">
      <c r="A62" t="s">
        <v>438</v>
      </c>
      <c r="B62" t="s">
        <v>439</v>
      </c>
    </row>
    <row r="63">
      <c r="A63" t="s">
        <v>440</v>
      </c>
      <c r="B63" t="s">
        <v>441</v>
      </c>
    </row>
    <row r="64">
      <c r="A64" t="s">
        <v>442</v>
      </c>
      <c r="B64" t="s">
        <v>443</v>
      </c>
    </row>
    <row r="65">
      <c r="A65" t="s">
        <v>444</v>
      </c>
      <c r="B65" t="s">
        <v>445</v>
      </c>
    </row>
    <row r="66">
      <c r="A66" t="s">
        <v>446</v>
      </c>
      <c r="B66" t="s">
        <v>447</v>
      </c>
    </row>
    <row r="67">
      <c r="A67" t="s">
        <v>448</v>
      </c>
      <c r="B67" t="s">
        <v>449</v>
      </c>
    </row>
    <row r="68">
      <c r="A68" t="s">
        <v>450</v>
      </c>
      <c r="B68" t="s">
        <v>451</v>
      </c>
    </row>
    <row r="69">
      <c r="A69" t="s">
        <v>452</v>
      </c>
      <c r="B69" t="s">
        <v>453</v>
      </c>
    </row>
    <row r="70">
      <c r="A70" t="s">
        <v>454</v>
      </c>
      <c r="B70" t="s">
        <v>455</v>
      </c>
    </row>
    <row r="71">
      <c r="A71" t="s">
        <v>456</v>
      </c>
      <c r="B71" t="s">
        <v>457</v>
      </c>
    </row>
    <row r="72">
      <c r="A72" t="s">
        <v>458</v>
      </c>
      <c r="B72" t="s">
        <v>459</v>
      </c>
    </row>
    <row r="73">
      <c r="A73" t="s">
        <v>460</v>
      </c>
      <c r="B73" t="s">
        <v>461</v>
      </c>
    </row>
    <row r="74">
      <c r="A74" t="s">
        <v>462</v>
      </c>
      <c r="B74" t="s">
        <v>463</v>
      </c>
    </row>
    <row r="75">
      <c r="A75" t="s">
        <v>464</v>
      </c>
      <c r="B75" t="s">
        <v>465</v>
      </c>
    </row>
    <row r="76">
      <c r="A76" t="s">
        <v>466</v>
      </c>
      <c r="B76" t="s">
        <v>467</v>
      </c>
    </row>
    <row r="77">
      <c r="A77" t="s">
        <v>468</v>
      </c>
      <c r="B77" t="s">
        <v>469</v>
      </c>
    </row>
    <row r="78">
      <c r="A78" t="s">
        <v>470</v>
      </c>
      <c r="B78" t="s">
        <v>471</v>
      </c>
    </row>
    <row r="79">
      <c r="A79" t="s">
        <v>472</v>
      </c>
      <c r="B79" t="s">
        <v>473</v>
      </c>
    </row>
    <row r="80">
      <c r="A80" t="s">
        <v>474</v>
      </c>
      <c r="B80" t="s">
        <v>475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"/>
    </sheetView>
  </sheetViews>
  <sheetFormatPr defaultRowHeight="14.5"/>
  <cols>
    <col bestFit="1" customWidth="1" min="1" max="1" width="15.453125"/>
    <col bestFit="1" customWidth="1" min="2" max="2" width="12.1796875"/>
    <col bestFit="1" customWidth="1" min="3" max="3" width="20.7265625"/>
    <col customWidth="1" min="4" max="4" width="45.1796875"/>
  </cols>
  <sheetData>
    <row r="1" s="13" customFormat="1">
      <c r="A1" s="1" t="s">
        <v>476</v>
      </c>
      <c r="B1" s="1" t="s">
        <v>477</v>
      </c>
      <c r="C1" s="1" t="s">
        <v>478</v>
      </c>
      <c r="D1" s="1" t="s">
        <v>479</v>
      </c>
    </row>
    <row r="2" ht="130.5">
      <c r="A2" t="s">
        <v>480</v>
      </c>
      <c r="B2" t="s">
        <v>481</v>
      </c>
      <c r="C2" t="s">
        <v>482</v>
      </c>
      <c r="D2" s="3" t="s">
        <v>483</v>
      </c>
    </row>
    <row r="3" ht="72.5">
      <c r="A3" t="s">
        <v>177</v>
      </c>
      <c r="B3" t="s">
        <v>481</v>
      </c>
      <c r="C3" t="s">
        <v>482</v>
      </c>
      <c r="D3" s="3" t="s">
        <v>484</v>
      </c>
    </row>
    <row r="4" ht="130.5">
      <c r="A4" t="s">
        <v>485</v>
      </c>
      <c r="B4" t="s">
        <v>481</v>
      </c>
      <c r="C4" t="s">
        <v>486</v>
      </c>
      <c r="D4" s="3" t="s">
        <v>487</v>
      </c>
    </row>
    <row r="5" ht="72.5">
      <c r="A5" t="s">
        <v>488</v>
      </c>
      <c r="B5" t="s">
        <v>481</v>
      </c>
      <c r="C5" t="s">
        <v>486</v>
      </c>
      <c r="D5" s="3" t="s">
        <v>489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3" activeCellId="0" sqref="A3"/>
    </sheetView>
  </sheetViews>
  <sheetFormatPr defaultRowHeight="14.5"/>
  <cols>
    <col bestFit="1" customWidth="1" min="1" max="1" width="18.81640625"/>
    <col bestFit="1" customWidth="1" min="2" max="2" width="6"/>
    <col bestFit="1" customWidth="1" min="3" max="3" width="12.81640625"/>
    <col bestFit="1" customWidth="1" min="4" max="4" width="34.1796875"/>
  </cols>
  <sheetData>
    <row r="1" s="10" customFormat="1">
      <c r="A1" s="10" t="s">
        <v>490</v>
      </c>
      <c r="B1" s="10" t="s">
        <v>24</v>
      </c>
      <c r="C1" s="10" t="s">
        <v>491</v>
      </c>
      <c r="D1" s="10" t="s">
        <v>492</v>
      </c>
    </row>
    <row r="2">
      <c r="A2" t="s">
        <v>48</v>
      </c>
      <c r="B2" t="s">
        <v>493</v>
      </c>
      <c r="C2" t="s">
        <v>493</v>
      </c>
      <c r="D2" t="s">
        <v>494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78" topLeftCell="A79" activePane="bottomLeft" state="frozen"/>
      <selection activeCell="A172" activeCellId="0" sqref="A172"/>
    </sheetView>
  </sheetViews>
  <sheetFormatPr defaultRowHeight="14.25"/>
  <cols>
    <col bestFit="1" customWidth="1" min="1" max="1" width="13.7265625"/>
    <col bestFit="1" customWidth="1" min="2" max="2" width="23.1796875"/>
    <col bestFit="1" customWidth="1" min="3" max="3" width="16.7265625"/>
  </cols>
  <sheetData>
    <row r="1" s="1" customFormat="1">
      <c r="A1" s="1"/>
      <c r="B1" s="1"/>
      <c r="C1" s="1"/>
      <c r="D1" s="1"/>
    </row>
    <row r="2" s="1" customFormat="1">
      <c r="A2" s="1"/>
      <c r="B2" s="1"/>
      <c r="C2" s="1"/>
      <c r="D2" s="1"/>
    </row>
    <row r="3" s="1" customFormat="1">
      <c r="A3" s="14"/>
      <c r="B3" s="14"/>
      <c r="C3" s="14"/>
      <c r="D3" s="14"/>
    </row>
    <row r="4" s="1" customFormat="1">
      <c r="A4" s="14" t="s">
        <v>43</v>
      </c>
      <c r="B4" s="14" t="s">
        <v>41</v>
      </c>
      <c r="C4" s="14" t="b">
        <v>0</v>
      </c>
      <c r="D4" s="14"/>
    </row>
    <row r="5" s="1" customFormat="1">
      <c r="A5" s="14" t="s">
        <v>121</v>
      </c>
      <c r="B5" s="14" t="s">
        <v>62</v>
      </c>
      <c r="C5" s="14" t="b">
        <v>0</v>
      </c>
      <c r="D5" s="14"/>
    </row>
    <row r="6" s="1" customFormat="1">
      <c r="A6" s="14" t="s">
        <v>111</v>
      </c>
      <c r="B6" s="14" t="s">
        <v>62</v>
      </c>
      <c r="C6" s="14" t="b">
        <v>0</v>
      </c>
      <c r="D6" s="14"/>
    </row>
    <row r="7" s="1" customFormat="1">
      <c r="A7" s="14" t="s">
        <v>64</v>
      </c>
      <c r="B7" s="14" t="s">
        <v>62</v>
      </c>
      <c r="C7" s="14" t="b">
        <v>0</v>
      </c>
      <c r="D7" s="14"/>
    </row>
    <row r="8" s="1" customFormat="1">
      <c r="A8" s="14" t="s">
        <v>125</v>
      </c>
      <c r="B8" s="14" t="s">
        <v>62</v>
      </c>
      <c r="C8" s="14" t="b">
        <v>0</v>
      </c>
      <c r="D8" s="14"/>
    </row>
    <row r="9" s="1" customFormat="1">
      <c r="A9" s="14" t="s">
        <v>115</v>
      </c>
      <c r="B9" s="14" t="s">
        <v>62</v>
      </c>
      <c r="C9" s="14" t="b">
        <v>0</v>
      </c>
      <c r="D9" s="14"/>
    </row>
    <row r="10" s="1" customFormat="1">
      <c r="A10" s="14" t="s">
        <v>98</v>
      </c>
      <c r="B10" s="14" t="s">
        <v>62</v>
      </c>
      <c r="C10" s="14" t="b">
        <v>0</v>
      </c>
      <c r="D10" s="14"/>
    </row>
    <row r="11" s="1" customFormat="1">
      <c r="A11" s="14" t="s">
        <v>128</v>
      </c>
      <c r="B11" s="14" t="s">
        <v>62</v>
      </c>
      <c r="C11" s="14" t="b">
        <v>0</v>
      </c>
      <c r="D11" s="14"/>
    </row>
    <row r="12" s="1" customFormat="1">
      <c r="A12" s="14" t="s">
        <v>118</v>
      </c>
      <c r="B12" s="14" t="s">
        <v>62</v>
      </c>
      <c r="C12" s="14" t="b">
        <v>0</v>
      </c>
      <c r="D12" s="14"/>
    </row>
    <row r="13" s="1" customFormat="1">
      <c r="A13" s="14" t="s">
        <v>106</v>
      </c>
      <c r="B13" s="14" t="s">
        <v>62</v>
      </c>
      <c r="C13" s="14" t="b">
        <v>0</v>
      </c>
      <c r="D13" s="14"/>
    </row>
    <row r="14" s="1" customFormat="1">
      <c r="A14" s="14" t="s">
        <v>60</v>
      </c>
      <c r="B14" s="14" t="s">
        <v>48</v>
      </c>
      <c r="C14" s="14" t="b">
        <v>0</v>
      </c>
      <c r="D14" s="14"/>
    </row>
    <row r="15" s="1" customFormat="1">
      <c r="A15" s="14" t="s">
        <v>56</v>
      </c>
      <c r="B15" s="14" t="s">
        <v>48</v>
      </c>
      <c r="C15" s="14" t="b">
        <v>0</v>
      </c>
      <c r="D15" s="14"/>
    </row>
    <row r="16" s="1" customFormat="1">
      <c r="A16" s="14" t="s">
        <v>46</v>
      </c>
      <c r="B16" s="14" t="s">
        <v>48</v>
      </c>
      <c r="C16" s="14" t="b">
        <v>0</v>
      </c>
      <c r="D16" s="14"/>
    </row>
    <row r="17" s="1" customFormat="1">
      <c r="A17" s="14" t="s">
        <v>39</v>
      </c>
      <c r="B17" s="14" t="s">
        <v>38</v>
      </c>
      <c r="C17" s="14" t="b">
        <v>0</v>
      </c>
      <c r="D17" s="14"/>
    </row>
    <row r="18" s="1" customFormat="1">
      <c r="A18" s="14"/>
      <c r="B18" s="14"/>
      <c r="C18" s="14"/>
      <c r="D18" s="14"/>
    </row>
    <row r="19" s="1" customFormat="1">
      <c r="A19" s="14" t="s">
        <v>143</v>
      </c>
      <c r="B19" s="14" t="s">
        <v>153</v>
      </c>
      <c r="C19" s="14" t="b">
        <v>0</v>
      </c>
      <c r="D19" s="14"/>
    </row>
    <row r="20" s="1" customFormat="1">
      <c r="A20" s="14" t="s">
        <v>139</v>
      </c>
      <c r="B20" s="14" t="s">
        <v>153</v>
      </c>
      <c r="C20" s="17" t="b">
        <v>0</v>
      </c>
      <c r="D20" s="14"/>
    </row>
    <row r="21" s="1" customFormat="1">
      <c r="A21" s="17" t="s">
        <v>92</v>
      </c>
      <c r="B21" s="17" t="s">
        <v>48</v>
      </c>
      <c r="C21" s="17" t="b">
        <v>1</v>
      </c>
      <c r="D21" s="17" t="s">
        <v>495</v>
      </c>
    </row>
    <row r="22" s="1" customFormat="1">
      <c r="A22" s="17" t="s">
        <v>147</v>
      </c>
      <c r="B22" s="17" t="s">
        <v>48</v>
      </c>
      <c r="C22" s="17" t="b">
        <v>0</v>
      </c>
      <c r="D22" s="17"/>
    </row>
    <row r="23">
      <c r="A23" s="17" t="s">
        <v>160</v>
      </c>
      <c r="B23" s="17" t="s">
        <v>159</v>
      </c>
      <c r="C23" s="17" t="b">
        <v>0</v>
      </c>
      <c r="D23" s="17"/>
    </row>
    <row r="24">
      <c r="A24" s="17" t="s">
        <v>163</v>
      </c>
      <c r="B24" s="17" t="s">
        <v>159</v>
      </c>
      <c r="C24" s="17" t="b">
        <v>0</v>
      </c>
      <c r="D24" s="17"/>
    </row>
    <row r="25">
      <c r="A25" s="17" t="s">
        <v>155</v>
      </c>
      <c r="B25" s="17" t="s">
        <v>153</v>
      </c>
      <c r="C25" s="17" t="b">
        <v>1</v>
      </c>
      <c r="D25" s="17"/>
    </row>
    <row r="26">
      <c r="A26" s="14"/>
      <c r="B26" s="14"/>
      <c r="C26" s="14"/>
      <c r="D26" s="14"/>
    </row>
    <row r="27"/>
    <row r="28">
      <c r="A28" s="17" t="s">
        <v>496</v>
      </c>
      <c r="B28" s="14" t="s">
        <v>159</v>
      </c>
      <c r="C28" s="14" t="b">
        <v>1</v>
      </c>
      <c r="D28" s="17" t="s">
        <v>497</v>
      </c>
    </row>
    <row r="29">
      <c r="A29" s="17" t="s">
        <v>498</v>
      </c>
      <c r="B29" s="14" t="s">
        <v>159</v>
      </c>
      <c r="C29" s="14" t="b">
        <v>1</v>
      </c>
      <c r="D29" s="17"/>
    </row>
    <row r="30">
      <c r="A30" s="17" t="s">
        <v>499</v>
      </c>
      <c r="B30" s="14" t="s">
        <v>159</v>
      </c>
      <c r="C30" s="14" t="b">
        <v>1</v>
      </c>
      <c r="D30" s="17"/>
    </row>
    <row r="31">
      <c r="A31" s="17"/>
      <c r="B31" s="17"/>
      <c r="C31" s="17"/>
      <c r="D31" s="17"/>
    </row>
    <row r="32">
      <c r="A32" s="17" t="s">
        <v>500</v>
      </c>
      <c r="B32" s="17" t="s">
        <v>48</v>
      </c>
      <c r="C32" s="17" t="b">
        <v>0</v>
      </c>
      <c r="D32" s="17"/>
    </row>
    <row r="33">
      <c r="A33" s="17" t="s">
        <v>501</v>
      </c>
      <c r="B33" s="17" t="s">
        <v>159</v>
      </c>
      <c r="C33" s="17" t="b">
        <v>0</v>
      </c>
      <c r="D33" s="17"/>
    </row>
    <row r="34">
      <c r="A34" s="14" t="s">
        <v>502</v>
      </c>
      <c r="B34" s="14" t="s">
        <v>159</v>
      </c>
      <c r="C34" s="17" t="b">
        <v>0</v>
      </c>
      <c r="D34" s="17"/>
    </row>
    <row r="35">
      <c r="A35" s="14" t="s">
        <v>503</v>
      </c>
      <c r="B35" s="14" t="s">
        <v>159</v>
      </c>
      <c r="C35" s="17" t="b">
        <v>0</v>
      </c>
      <c r="D35" s="14"/>
    </row>
    <row r="36">
      <c r="A36" s="14" t="s">
        <v>504</v>
      </c>
      <c r="B36" s="14" t="s">
        <v>222</v>
      </c>
      <c r="C36" s="14" t="b">
        <v>0</v>
      </c>
      <c r="D36" s="14"/>
    </row>
    <row r="37">
      <c r="A37" s="17" t="s">
        <v>505</v>
      </c>
      <c r="B37" s="17" t="s">
        <v>222</v>
      </c>
      <c r="C37" s="17" t="b">
        <v>0</v>
      </c>
      <c r="D37" s="14"/>
    </row>
    <row r="38">
      <c r="A38" s="17" t="s">
        <v>506</v>
      </c>
      <c r="B38" s="17" t="s">
        <v>222</v>
      </c>
      <c r="C38" s="17" t="b">
        <v>0</v>
      </c>
      <c r="D38" s="17"/>
    </row>
    <row r="39">
      <c r="A39" s="17" t="s">
        <v>507</v>
      </c>
      <c r="B39" s="17" t="s">
        <v>222</v>
      </c>
      <c r="C39" s="17" t="b">
        <v>0</v>
      </c>
      <c r="D39" s="17"/>
    </row>
    <row r="40">
      <c r="A40" s="17" t="s">
        <v>508</v>
      </c>
      <c r="B40" s="17" t="s">
        <v>62</v>
      </c>
      <c r="C40" s="17" t="b">
        <v>0</v>
      </c>
      <c r="D40" s="17"/>
    </row>
    <row r="41">
      <c r="A41" s="17" t="s">
        <v>509</v>
      </c>
      <c r="B41" s="17" t="s">
        <v>222</v>
      </c>
      <c r="C41" s="17" t="b">
        <v>0</v>
      </c>
      <c r="D41" s="17"/>
    </row>
    <row r="42">
      <c r="A42" s="17" t="s">
        <v>510</v>
      </c>
      <c r="B42" s="17" t="s">
        <v>222</v>
      </c>
      <c r="C42" s="17" t="b">
        <v>0</v>
      </c>
      <c r="D42" s="17"/>
    </row>
    <row r="43">
      <c r="A43" s="17" t="s">
        <v>511</v>
      </c>
      <c r="B43" s="17" t="s">
        <v>222</v>
      </c>
      <c r="C43" s="17" t="b">
        <v>0</v>
      </c>
      <c r="D43" s="17"/>
    </row>
    <row r="44">
      <c r="A44" s="14" t="s">
        <v>512</v>
      </c>
      <c r="B44" s="14" t="s">
        <v>159</v>
      </c>
      <c r="C44" s="14" t="b">
        <v>0</v>
      </c>
      <c r="D44" s="17"/>
    </row>
    <row r="45">
      <c r="A45" s="14" t="s">
        <v>513</v>
      </c>
      <c r="B45" s="14" t="s">
        <v>159</v>
      </c>
      <c r="C45" s="14" t="b">
        <v>0</v>
      </c>
      <c r="D45" s="17"/>
    </row>
    <row r="46">
      <c r="A46" s="14" t="s">
        <v>514</v>
      </c>
      <c r="B46" s="14" t="s">
        <v>159</v>
      </c>
      <c r="C46" s="14" t="b">
        <v>0</v>
      </c>
      <c r="D46" s="17"/>
    </row>
    <row r="47">
      <c r="A47" s="14"/>
      <c r="B47" s="14"/>
      <c r="C47" s="14"/>
      <c r="D47" s="14"/>
    </row>
    <row r="48">
      <c r="A48" s="14"/>
      <c r="B48" s="14"/>
      <c r="C48" s="14"/>
      <c r="D48" s="14"/>
    </row>
    <row r="49">
      <c r="A49" s="14"/>
      <c r="B49" s="14"/>
      <c r="C49" s="14"/>
      <c r="D49" s="14"/>
    </row>
    <row r="50" s="1" customFormat="1">
      <c r="A50" s="14"/>
      <c r="B50" s="14"/>
      <c r="C50" s="14"/>
      <c r="D50" s="14"/>
    </row>
    <row r="51" s="1" customFormat="1">
      <c r="A51" s="14" t="s">
        <v>173</v>
      </c>
      <c r="B51" s="7" t="s">
        <v>172</v>
      </c>
      <c r="C51" s="1" t="b">
        <v>0</v>
      </c>
      <c r="D51" s="14"/>
    </row>
    <row r="52" s="1" customFormat="1">
      <c r="A52" s="14" t="s">
        <v>178</v>
      </c>
      <c r="B52" s="7" t="s">
        <v>153</v>
      </c>
      <c r="C52" s="1" t="b">
        <v>0</v>
      </c>
      <c r="D52" s="14"/>
    </row>
    <row r="53" s="1" customFormat="1">
      <c r="A53" s="14" t="s">
        <v>182</v>
      </c>
      <c r="B53" s="7" t="s">
        <v>62</v>
      </c>
      <c r="C53" s="1" t="b">
        <v>0</v>
      </c>
      <c r="D53" s="14"/>
    </row>
    <row r="54" s="1" customFormat="1">
      <c r="A54" s="14" t="s">
        <v>186</v>
      </c>
      <c r="B54" s="7" t="s">
        <v>153</v>
      </c>
      <c r="C54" s="1" t="b">
        <v>0</v>
      </c>
      <c r="D54" s="14"/>
    </row>
    <row r="55" s="1" customFormat="1">
      <c r="A55" s="14" t="s">
        <v>187</v>
      </c>
      <c r="B55" s="7" t="s">
        <v>62</v>
      </c>
      <c r="C55" s="1" t="b">
        <v>0</v>
      </c>
      <c r="D55" s="14"/>
    </row>
    <row r="56" s="1" customFormat="1">
      <c r="A56" s="14" t="s">
        <v>192</v>
      </c>
      <c r="B56" s="7" t="s">
        <v>191</v>
      </c>
      <c r="C56" s="1" t="b">
        <v>0</v>
      </c>
      <c r="D56" s="14"/>
    </row>
    <row r="57" s="1" customFormat="1">
      <c r="A57" s="14" t="s">
        <v>193</v>
      </c>
      <c r="B57" s="7" t="s">
        <v>62</v>
      </c>
      <c r="C57" s="1" t="b">
        <v>0</v>
      </c>
    </row>
    <row r="58" s="1" customFormat="1">
      <c r="A58" s="14" t="s">
        <v>197</v>
      </c>
      <c r="B58" s="7" t="s">
        <v>191</v>
      </c>
      <c r="C58" s="1" t="b">
        <v>0</v>
      </c>
    </row>
    <row r="59" s="1" customFormat="1">
      <c r="A59" s="14" t="s">
        <v>198</v>
      </c>
      <c r="B59" s="7" t="s">
        <v>62</v>
      </c>
      <c r="C59" s="1" t="b">
        <v>0</v>
      </c>
    </row>
    <row r="60" s="1" customFormat="1">
      <c r="A60" s="14" t="s">
        <v>202</v>
      </c>
      <c r="B60" t="s">
        <v>191</v>
      </c>
      <c r="C60" s="1" t="b">
        <v>0</v>
      </c>
    </row>
    <row r="61" s="1" customFormat="1">
      <c r="A61" s="14" t="s">
        <v>203</v>
      </c>
      <c r="B61" t="s">
        <v>62</v>
      </c>
      <c r="C61" s="1" t="b">
        <v>0</v>
      </c>
    </row>
    <row r="62" s="1" customFormat="1">
      <c r="A62" s="14" t="s">
        <v>207</v>
      </c>
      <c r="B62" t="s">
        <v>153</v>
      </c>
      <c r="C62" s="1" t="b">
        <v>0</v>
      </c>
    </row>
    <row r="63" s="1" customFormat="1">
      <c r="A63" s="14" t="s">
        <v>208</v>
      </c>
      <c r="B63" t="s">
        <v>62</v>
      </c>
      <c r="C63" s="1" t="b">
        <v>0</v>
      </c>
    </row>
    <row r="64" s="1" customFormat="1">
      <c r="A64" s="14" t="s">
        <v>212</v>
      </c>
      <c r="B64" t="s">
        <v>153</v>
      </c>
      <c r="C64" s="1" t="b">
        <v>0</v>
      </c>
    </row>
    <row r="65" s="1" customFormat="1">
      <c r="A65" s="14" t="s">
        <v>213</v>
      </c>
      <c r="B65" t="s">
        <v>62</v>
      </c>
      <c r="C65" s="1" t="b">
        <v>0</v>
      </c>
    </row>
    <row r="66" s="1" customFormat="1">
      <c r="A66" s="14" t="s">
        <v>217</v>
      </c>
      <c r="B66" t="s">
        <v>153</v>
      </c>
      <c r="C66" s="1" t="b">
        <v>0</v>
      </c>
    </row>
    <row r="67" s="1" customFormat="1">
      <c r="A67" s="14" t="s">
        <v>218</v>
      </c>
      <c r="B67" t="s">
        <v>62</v>
      </c>
      <c r="C67" s="1" t="b">
        <v>0</v>
      </c>
    </row>
    <row r="68" s="1" customFormat="1">
      <c r="A68" s="14" t="s">
        <v>223</v>
      </c>
      <c r="B68" t="s">
        <v>222</v>
      </c>
      <c r="C68" s="1" t="b">
        <v>0</v>
      </c>
    </row>
    <row r="69" s="1" customFormat="1">
      <c r="A69" s="14" t="s">
        <v>226</v>
      </c>
      <c r="B69" t="s">
        <v>153</v>
      </c>
      <c r="C69" s="1" t="b">
        <v>0</v>
      </c>
    </row>
    <row r="70" s="1" customFormat="1">
      <c r="A70" s="1" t="s">
        <v>227</v>
      </c>
      <c r="B70" t="s">
        <v>62</v>
      </c>
      <c r="C70" s="1" t="b">
        <v>0</v>
      </c>
    </row>
    <row r="71" s="1" customFormat="1">
      <c r="A71" s="14" t="s">
        <v>231</v>
      </c>
      <c r="B71" t="s">
        <v>153</v>
      </c>
      <c r="C71" s="1" t="b">
        <v>0</v>
      </c>
    </row>
    <row r="72" s="1" customFormat="1">
      <c r="A72" s="14" t="s">
        <v>232</v>
      </c>
      <c r="B72" t="s">
        <v>222</v>
      </c>
      <c r="C72" s="1" t="b">
        <v>0</v>
      </c>
    </row>
    <row r="73" s="1" customFormat="1">
      <c r="A73" s="14" t="s">
        <v>236</v>
      </c>
      <c r="B73" t="s">
        <v>62</v>
      </c>
      <c r="C73" s="1" t="b">
        <v>0</v>
      </c>
    </row>
    <row r="74" s="1" customFormat="1">
      <c r="A74" s="14" t="s">
        <v>239</v>
      </c>
      <c r="B74" t="s">
        <v>62</v>
      </c>
      <c r="C74" s="1" t="b">
        <v>0</v>
      </c>
    </row>
    <row r="75" s="1" customFormat="1">
      <c r="A75" s="14" t="s">
        <v>243</v>
      </c>
      <c r="B75" t="s">
        <v>153</v>
      </c>
      <c r="C75" s="1" t="b">
        <v>0</v>
      </c>
    </row>
    <row r="76" s="1" customFormat="1">
      <c r="A76" s="18" t="s">
        <v>245</v>
      </c>
      <c r="B76" s="19" t="s">
        <v>153</v>
      </c>
      <c r="C76" s="14" t="b">
        <v>0</v>
      </c>
    </row>
    <row r="77" s="1" customFormat="1">
      <c r="A77" s="18" t="s">
        <v>249</v>
      </c>
      <c r="B77" s="14" t="s">
        <v>222</v>
      </c>
      <c r="C77" s="14" t="b">
        <v>0</v>
      </c>
    </row>
    <row r="78" s="1" customFormat="1">
      <c r="A78" s="14"/>
      <c r="B78" s="14"/>
      <c r="C78" s="14"/>
      <c r="D78" s="1"/>
      <c r="F78" s="1"/>
    </row>
    <row r="79"/>
    <row r="80"/>
    <row r="81"/>
    <row r="82"/>
    <row r="83"/>
    <row r="84"/>
    <row r="85"/>
    <row r="86"/>
    <row r="87"/>
    <row r="88"/>
    <row r="89"/>
    <row r="90"/>
    <row r="91"/>
    <row r="92">
      <c r="A92" s="2"/>
    </row>
    <row r="93"/>
    <row r="94"/>
    <row r="95"/>
    <row r="96"/>
    <row r="97"/>
    <row r="98">
      <c r="A98" t="s">
        <v>515</v>
      </c>
      <c r="B98" t="s">
        <v>41</v>
      </c>
      <c r="C98" t="b">
        <v>0</v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t="s">
        <v>516</v>
      </c>
      <c r="B112" t="s">
        <v>62</v>
      </c>
      <c r="C112" t="b">
        <v>0</v>
      </c>
    </row>
    <row r="113"/>
    <row r="114"/>
    <row r="115">
      <c r="A115" t="s">
        <v>517</v>
      </c>
      <c r="B115" t="s">
        <v>62</v>
      </c>
      <c r="C115" t="b">
        <v>0</v>
      </c>
    </row>
    <row r="116">
      <c r="A116" t="s">
        <v>518</v>
      </c>
      <c r="B116" t="s">
        <v>222</v>
      </c>
      <c r="C116" t="b">
        <v>0</v>
      </c>
    </row>
    <row r="117">
      <c r="A117" t="s">
        <v>519</v>
      </c>
      <c r="B117" t="s">
        <v>48</v>
      </c>
      <c r="C117" t="b">
        <v>0</v>
      </c>
    </row>
    <row r="118">
      <c r="A118" t="s">
        <v>520</v>
      </c>
      <c r="B118" t="s">
        <v>62</v>
      </c>
      <c r="C118" t="b">
        <v>0</v>
      </c>
    </row>
    <row r="119">
      <c r="A119" t="s">
        <v>521</v>
      </c>
      <c r="B119" t="s">
        <v>222</v>
      </c>
      <c r="C119" t="b">
        <v>0</v>
      </c>
    </row>
    <row r="120">
      <c r="A120" t="s">
        <v>522</v>
      </c>
      <c r="B120" t="s">
        <v>48</v>
      </c>
      <c r="C120" t="b">
        <v>0</v>
      </c>
    </row>
    <row r="121">
      <c r="A121" t="s">
        <v>523</v>
      </c>
      <c r="B121" t="s">
        <v>62</v>
      </c>
      <c r="C121" t="b">
        <v>0</v>
      </c>
    </row>
    <row r="122">
      <c r="A122" t="s">
        <v>524</v>
      </c>
      <c r="B122" t="s">
        <v>222</v>
      </c>
      <c r="C122" t="b">
        <v>0</v>
      </c>
    </row>
    <row r="123">
      <c r="A123" t="s">
        <v>525</v>
      </c>
      <c r="B123" t="s">
        <v>48</v>
      </c>
      <c r="C123" t="b">
        <v>0</v>
      </c>
    </row>
    <row r="124">
      <c r="A124" t="s">
        <v>526</v>
      </c>
      <c r="B124" t="s">
        <v>62</v>
      </c>
      <c r="C124" t="b">
        <v>0</v>
      </c>
    </row>
    <row r="125">
      <c r="A125" t="s">
        <v>527</v>
      </c>
      <c r="B125" t="s">
        <v>222</v>
      </c>
      <c r="C125" t="b">
        <v>0</v>
      </c>
    </row>
    <row r="126">
      <c r="A126" t="s">
        <v>528</v>
      </c>
      <c r="B126" t="s">
        <v>48</v>
      </c>
      <c r="C126" t="b">
        <v>0</v>
      </c>
    </row>
    <row r="127">
      <c r="A127" t="s">
        <v>529</v>
      </c>
      <c r="B127" t="s">
        <v>62</v>
      </c>
      <c r="C127" t="b">
        <v>0</v>
      </c>
    </row>
    <row r="128">
      <c r="A128" t="s">
        <v>530</v>
      </c>
      <c r="B128" t="s">
        <v>153</v>
      </c>
      <c r="C128" t="b">
        <v>1</v>
      </c>
    </row>
    <row r="129"/>
    <row r="130">
      <c r="A130" t="s">
        <v>531</v>
      </c>
      <c r="B130" t="s">
        <v>159</v>
      </c>
      <c r="C130" t="b">
        <v>0</v>
      </c>
    </row>
    <row r="131">
      <c r="A131" t="s">
        <v>532</v>
      </c>
      <c r="B131" t="s">
        <v>222</v>
      </c>
      <c r="C131" t="b">
        <v>0</v>
      </c>
    </row>
    <row r="132">
      <c r="A132" t="s">
        <v>533</v>
      </c>
      <c r="B132" t="s">
        <v>222</v>
      </c>
      <c r="C132" t="b">
        <v>0</v>
      </c>
    </row>
    <row r="133">
      <c r="A133" t="s">
        <v>534</v>
      </c>
      <c r="B133" t="s">
        <v>48</v>
      </c>
      <c r="C133" t="b">
        <v>0</v>
      </c>
    </row>
    <row r="134">
      <c r="A134" t="s">
        <v>500</v>
      </c>
      <c r="B134" t="s">
        <v>48</v>
      </c>
      <c r="C134" t="b">
        <v>0</v>
      </c>
      <c r="D134" t="s">
        <v>497</v>
      </c>
    </row>
    <row r="135">
      <c r="A135" t="s">
        <v>501</v>
      </c>
      <c r="B135" t="s">
        <v>159</v>
      </c>
      <c r="C135" t="b">
        <v>0</v>
      </c>
    </row>
    <row r="136" ht="14.25">
      <c r="A136" t="s">
        <v>535</v>
      </c>
      <c r="B136" t="s">
        <v>159</v>
      </c>
      <c r="C136" t="b">
        <v>0</v>
      </c>
    </row>
    <row r="137">
      <c r="A137" t="s">
        <v>502</v>
      </c>
      <c r="B137" t="s">
        <v>159</v>
      </c>
      <c r="C137" t="b">
        <v>0</v>
      </c>
    </row>
    <row r="138">
      <c r="A138" t="s">
        <v>503</v>
      </c>
      <c r="B138" t="s">
        <v>159</v>
      </c>
      <c r="C138" t="b">
        <v>0</v>
      </c>
    </row>
    <row r="139">
      <c r="A139" t="s">
        <v>504</v>
      </c>
      <c r="B139" t="s">
        <v>222</v>
      </c>
      <c r="C139" t="b">
        <v>0</v>
      </c>
    </row>
    <row r="140">
      <c r="A140" t="s">
        <v>536</v>
      </c>
      <c r="B140" t="s">
        <v>48</v>
      </c>
      <c r="C140" t="b">
        <v>0</v>
      </c>
    </row>
    <row r="141">
      <c r="A141" t="s">
        <v>505</v>
      </c>
      <c r="B141" t="s">
        <v>222</v>
      </c>
      <c r="C141" t="b">
        <v>0</v>
      </c>
    </row>
    <row r="142">
      <c r="A142" t="s">
        <v>506</v>
      </c>
      <c r="B142" t="s">
        <v>222</v>
      </c>
      <c r="C142" t="b">
        <v>0</v>
      </c>
    </row>
    <row r="143">
      <c r="A143" t="s">
        <v>507</v>
      </c>
      <c r="B143" t="s">
        <v>222</v>
      </c>
      <c r="C143" t="b">
        <v>0</v>
      </c>
    </row>
    <row r="144">
      <c r="A144" t="s">
        <v>508</v>
      </c>
      <c r="B144" t="s">
        <v>62</v>
      </c>
      <c r="C144" t="b">
        <v>0</v>
      </c>
    </row>
    <row r="145">
      <c r="A145" t="s">
        <v>537</v>
      </c>
      <c r="B145" t="s">
        <v>538</v>
      </c>
      <c r="C145" t="b">
        <v>0</v>
      </c>
    </row>
    <row r="146"/>
    <row r="147">
      <c r="A147" t="s">
        <v>245</v>
      </c>
      <c r="B147" t="s">
        <v>153</v>
      </c>
      <c r="C147" t="b">
        <v>0</v>
      </c>
    </row>
    <row r="148">
      <c r="A148" t="s">
        <v>249</v>
      </c>
      <c r="B148" t="s">
        <v>222</v>
      </c>
      <c r="C148" t="b">
        <v>0</v>
      </c>
    </row>
    <row r="149"/>
    <row r="150"/>
    <row r="151">
      <c r="D151" t="s">
        <v>539</v>
      </c>
    </row>
    <row r="152">
      <c r="D152" t="s">
        <v>539</v>
      </c>
    </row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40"/>
    <row r="24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2025-06-03T09:35:38Z</dcterms:modified>
</cp:coreProperties>
</file>